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PERSONAL DATA\62. DIANI (OK)\MATERI PELATIHAN DATA ANALIST\Session 1 (Excel)\"/>
    </mc:Choice>
  </mc:AlternateContent>
  <xr:revisionPtr revIDLastSave="0" documentId="13_ncr:1_{295C6FED-B921-46B8-919B-8650DE69B64E}" xr6:coauthVersionLast="47" xr6:coauthVersionMax="47" xr10:uidLastSave="{00000000-0000-0000-0000-000000000000}"/>
  <bookViews>
    <workbookView xWindow="-110" yWindow="-110" windowWidth="19420" windowHeight="10300" xr2:uid="{CEA941B3-DD3F-4619-8E66-5A94772948C5}"/>
  </bookViews>
  <sheets>
    <sheet name="Dataset" sheetId="1" r:id="rId1"/>
    <sheet name="Output" sheetId="2" r:id="rId2"/>
  </sheets>
  <definedNames>
    <definedName name="_xlnm._FilterDatabase" localSheetId="1" hidden="1">Output!$C$6:$E$19</definedName>
    <definedName name="_xlnm.Print_Area" localSheetId="1">Output!$A$1:$G$56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44" i="2" l="1"/>
  <c r="D43" i="2"/>
  <c r="D26" i="2"/>
  <c r="E26" i="2"/>
  <c r="F26" i="2"/>
  <c r="D27" i="2"/>
  <c r="F27" i="2" s="1"/>
  <c r="E27" i="2"/>
  <c r="D28" i="2"/>
  <c r="E28" i="2"/>
  <c r="D29" i="2"/>
  <c r="F29" i="2" s="1"/>
  <c r="E29" i="2"/>
  <c r="D30" i="2"/>
  <c r="E30" i="2"/>
  <c r="D31" i="2"/>
  <c r="E31" i="2"/>
  <c r="D32" i="2"/>
  <c r="E32" i="2"/>
  <c r="D33" i="2"/>
  <c r="E33" i="2"/>
  <c r="D34" i="2"/>
  <c r="E34" i="2"/>
  <c r="F34" i="2" s="1"/>
  <c r="D35" i="2"/>
  <c r="E35" i="2"/>
  <c r="D36" i="2"/>
  <c r="E36" i="2"/>
  <c r="D37" i="2"/>
  <c r="E37" i="2"/>
  <c r="E25" i="2"/>
  <c r="E38" i="2" s="1"/>
  <c r="D25" i="2"/>
  <c r="D38" i="2" s="1"/>
  <c r="D7" i="2"/>
  <c r="E8" i="2"/>
  <c r="E9" i="2"/>
  <c r="E10" i="2"/>
  <c r="E11" i="2"/>
  <c r="E12" i="2"/>
  <c r="E13" i="2"/>
  <c r="E14" i="2"/>
  <c r="E15" i="2"/>
  <c r="E16" i="2"/>
  <c r="E17" i="2"/>
  <c r="E18" i="2"/>
  <c r="E19" i="2"/>
  <c r="E7" i="2"/>
  <c r="D8" i="2"/>
  <c r="D9" i="2"/>
  <c r="D10" i="2"/>
  <c r="D11" i="2"/>
  <c r="D12" i="2"/>
  <c r="D13" i="2"/>
  <c r="D14" i="2"/>
  <c r="D15" i="2"/>
  <c r="D16" i="2"/>
  <c r="D17" i="2"/>
  <c r="D18" i="2"/>
  <c r="D19" i="2"/>
  <c r="L3" i="1" a="1"/>
  <c r="L3" i="1"/>
  <c r="L4" i="1" a="1"/>
  <c r="L4" i="1"/>
  <c r="L5" i="1" a="1"/>
  <c r="L5" i="1" s="1"/>
  <c r="L6" i="1" a="1"/>
  <c r="L6" i="1" s="1"/>
  <c r="L7" i="1" a="1"/>
  <c r="L7" i="1" s="1"/>
  <c r="L8" i="1" a="1"/>
  <c r="L8" i="1"/>
  <c r="L9" i="1" a="1"/>
  <c r="L9" i="1" s="1"/>
  <c r="L10" i="1" a="1"/>
  <c r="L10" i="1" s="1"/>
  <c r="L11" i="1" a="1"/>
  <c r="L11" i="1" s="1"/>
  <c r="L12" i="1" a="1"/>
  <c r="L12" i="1"/>
  <c r="L13" i="1" a="1"/>
  <c r="L13" i="1" s="1"/>
  <c r="L14" i="1" a="1"/>
  <c r="L14" i="1" s="1"/>
  <c r="L15" i="1" a="1"/>
  <c r="L15" i="1" s="1"/>
  <c r="L16" i="1" a="1"/>
  <c r="L16" i="1"/>
  <c r="L17" i="1" a="1"/>
  <c r="L17" i="1" s="1"/>
  <c r="L18" i="1" a="1"/>
  <c r="L18" i="1" s="1"/>
  <c r="L19" i="1" a="1"/>
  <c r="L19" i="1" s="1"/>
  <c r="L20" i="1" a="1"/>
  <c r="L20" i="1"/>
  <c r="L21" i="1" a="1"/>
  <c r="L21" i="1" s="1"/>
  <c r="L22" i="1" a="1"/>
  <c r="L22" i="1" s="1"/>
  <c r="L23" i="1" a="1"/>
  <c r="L23" i="1" s="1"/>
  <c r="L24" i="1" a="1"/>
  <c r="L24" i="1"/>
  <c r="L25" i="1" a="1"/>
  <c r="L25" i="1" s="1"/>
  <c r="L26" i="1" a="1"/>
  <c r="L26" i="1" s="1"/>
  <c r="L27" i="1" a="1"/>
  <c r="L27" i="1" s="1"/>
  <c r="L28" i="1" a="1"/>
  <c r="L28" i="1"/>
  <c r="L29" i="1" a="1"/>
  <c r="L29" i="1" s="1"/>
  <c r="L30" i="1" a="1"/>
  <c r="L30" i="1" s="1"/>
  <c r="L31" i="1" a="1"/>
  <c r="L31" i="1" s="1"/>
  <c r="L32" i="1" a="1"/>
  <c r="L32" i="1"/>
  <c r="L33" i="1" a="1"/>
  <c r="L33" i="1" s="1"/>
  <c r="L34" i="1" a="1"/>
  <c r="L34" i="1" s="1"/>
  <c r="L35" i="1" a="1"/>
  <c r="L35" i="1" s="1"/>
  <c r="L36" i="1" a="1"/>
  <c r="L36" i="1"/>
  <c r="L37" i="1" a="1"/>
  <c r="L37" i="1" s="1"/>
  <c r="L38" i="1" a="1"/>
  <c r="L38" i="1" s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 s="1"/>
  <c r="L46" i="1" a="1"/>
  <c r="L46" i="1" s="1"/>
  <c r="L47" i="1" a="1"/>
  <c r="L47" i="1" s="1"/>
  <c r="L48" i="1" a="1"/>
  <c r="L48" i="1"/>
  <c r="L49" i="1" a="1"/>
  <c r="L49" i="1" s="1"/>
  <c r="L50" i="1" a="1"/>
  <c r="L50" i="1" s="1"/>
  <c r="L51" i="1" a="1"/>
  <c r="L51" i="1" s="1"/>
  <c r="L52" i="1" a="1"/>
  <c r="L52" i="1"/>
  <c r="L53" i="1" a="1"/>
  <c r="L53" i="1" s="1"/>
  <c r="L54" i="1" a="1"/>
  <c r="L54" i="1" s="1"/>
  <c r="L55" i="1" a="1"/>
  <c r="L55" i="1" s="1"/>
  <c r="L56" i="1" a="1"/>
  <c r="L56" i="1"/>
  <c r="L57" i="1" a="1"/>
  <c r="L57" i="1" s="1"/>
  <c r="L58" i="1" a="1"/>
  <c r="L58" i="1" s="1"/>
  <c r="L59" i="1" a="1"/>
  <c r="L59" i="1" s="1"/>
  <c r="L60" i="1" a="1"/>
  <c r="L60" i="1"/>
  <c r="L61" i="1" a="1"/>
  <c r="L61" i="1" s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 s="1"/>
  <c r="L70" i="1" a="1"/>
  <c r="L70" i="1" s="1"/>
  <c r="L71" i="1" a="1"/>
  <c r="L71" i="1" s="1"/>
  <c r="L72" i="1" a="1"/>
  <c r="L72" i="1"/>
  <c r="L73" i="1" a="1"/>
  <c r="L73" i="1" s="1"/>
  <c r="L74" i="1" a="1"/>
  <c r="L74" i="1" s="1"/>
  <c r="L75" i="1" a="1"/>
  <c r="L75" i="1" s="1"/>
  <c r="L76" i="1" a="1"/>
  <c r="L76" i="1"/>
  <c r="L77" i="1" a="1"/>
  <c r="L77" i="1" s="1"/>
  <c r="L78" i="1" a="1"/>
  <c r="L78" i="1" s="1"/>
  <c r="L79" i="1" a="1"/>
  <c r="L79" i="1" s="1"/>
  <c r="L80" i="1" a="1"/>
  <c r="L80" i="1"/>
  <c r="L81" i="1" a="1"/>
  <c r="L81" i="1" s="1"/>
  <c r="L82" i="1" a="1"/>
  <c r="L82" i="1" s="1"/>
  <c r="L83" i="1" a="1"/>
  <c r="L83" i="1" s="1"/>
  <c r="L84" i="1" a="1"/>
  <c r="L84" i="1"/>
  <c r="L85" i="1" a="1"/>
  <c r="L85" i="1" s="1"/>
  <c r="L86" i="1" a="1"/>
  <c r="L86" i="1" s="1"/>
  <c r="L87" i="1" a="1"/>
  <c r="L87" i="1" s="1"/>
  <c r="L88" i="1" a="1"/>
  <c r="L88" i="1"/>
  <c r="L89" i="1" a="1"/>
  <c r="L89" i="1" s="1"/>
  <c r="L90" i="1" a="1"/>
  <c r="L90" i="1" s="1"/>
  <c r="L91" i="1" a="1"/>
  <c r="L91" i="1" s="1"/>
  <c r="L92" i="1" a="1"/>
  <c r="L92" i="1"/>
  <c r="L93" i="1" a="1"/>
  <c r="L93" i="1" s="1"/>
  <c r="L94" i="1" a="1"/>
  <c r="L94" i="1" s="1"/>
  <c r="L95" i="1" a="1"/>
  <c r="L95" i="1" s="1"/>
  <c r="L96" i="1" a="1"/>
  <c r="L96" i="1"/>
  <c r="L97" i="1" a="1"/>
  <c r="L97" i="1" s="1"/>
  <c r="L98" i="1" a="1"/>
  <c r="L98" i="1" s="1"/>
  <c r="L99" i="1" a="1"/>
  <c r="L99" i="1" s="1"/>
  <c r="L100" i="1" a="1"/>
  <c r="L100" i="1"/>
  <c r="L101" i="1" a="1"/>
  <c r="L101" i="1" s="1"/>
  <c r="L102" i="1" a="1"/>
  <c r="L102" i="1" s="1"/>
  <c r="L103" i="1" a="1"/>
  <c r="L103" i="1" s="1"/>
  <c r="L104" i="1" a="1"/>
  <c r="L104" i="1"/>
  <c r="L105" i="1" a="1"/>
  <c r="L105" i="1" s="1"/>
  <c r="L106" i="1" a="1"/>
  <c r="L106" i="1" s="1"/>
  <c r="L107" i="1" a="1"/>
  <c r="L107" i="1" s="1"/>
  <c r="L108" i="1" a="1"/>
  <c r="L108" i="1"/>
  <c r="L109" i="1" a="1"/>
  <c r="L109" i="1" s="1"/>
  <c r="L110" i="1" a="1"/>
  <c r="L110" i="1" s="1"/>
  <c r="L111" i="1" a="1"/>
  <c r="L111" i="1" s="1"/>
  <c r="L112" i="1" a="1"/>
  <c r="L112" i="1"/>
  <c r="L113" i="1" a="1"/>
  <c r="L113" i="1" s="1"/>
  <c r="L114" i="1" a="1"/>
  <c r="L114" i="1" s="1"/>
  <c r="L115" i="1" a="1"/>
  <c r="L115" i="1" s="1"/>
  <c r="L116" i="1" a="1"/>
  <c r="L116" i="1"/>
  <c r="L117" i="1" a="1"/>
  <c r="L117" i="1" s="1"/>
  <c r="L118" i="1" a="1"/>
  <c r="L118" i="1" s="1"/>
  <c r="L119" i="1" a="1"/>
  <c r="L119" i="1" s="1"/>
  <c r="L120" i="1" a="1"/>
  <c r="L120" i="1"/>
  <c r="L121" i="1" a="1"/>
  <c r="L121" i="1" s="1"/>
  <c r="L122" i="1" a="1"/>
  <c r="L122" i="1" s="1"/>
  <c r="L123" i="1" a="1"/>
  <c r="L123" i="1" s="1"/>
  <c r="L124" i="1" a="1"/>
  <c r="L124" i="1"/>
  <c r="L125" i="1" a="1"/>
  <c r="L125" i="1" s="1"/>
  <c r="L126" i="1" a="1"/>
  <c r="L126" i="1" s="1"/>
  <c r="L127" i="1" a="1"/>
  <c r="L127" i="1" s="1"/>
  <c r="L128" i="1" a="1"/>
  <c r="L128" i="1"/>
  <c r="L129" i="1" a="1"/>
  <c r="L129" i="1" s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/>
  <c r="L137" i="1" a="1"/>
  <c r="L137" i="1" s="1"/>
  <c r="L138" i="1" a="1"/>
  <c r="L138" i="1" s="1"/>
  <c r="L139" i="1" a="1"/>
  <c r="L139" i="1" s="1"/>
  <c r="L140" i="1" a="1"/>
  <c r="L140" i="1"/>
  <c r="L141" i="1" a="1"/>
  <c r="L141" i="1" s="1"/>
  <c r="L142" i="1" a="1"/>
  <c r="L142" i="1" s="1"/>
  <c r="L143" i="1" a="1"/>
  <c r="L143" i="1" s="1"/>
  <c r="L144" i="1" a="1"/>
  <c r="L144" i="1"/>
  <c r="L145" i="1" a="1"/>
  <c r="L145" i="1" s="1"/>
  <c r="L146" i="1" a="1"/>
  <c r="L146" i="1" s="1"/>
  <c r="L147" i="1" a="1"/>
  <c r="L147" i="1" s="1"/>
  <c r="L148" i="1" a="1"/>
  <c r="L148" i="1"/>
  <c r="L149" i="1" a="1"/>
  <c r="L149" i="1" s="1"/>
  <c r="L150" i="1" a="1"/>
  <c r="L150" i="1" s="1"/>
  <c r="L151" i="1" a="1"/>
  <c r="L151" i="1" s="1"/>
  <c r="L152" i="1" a="1"/>
  <c r="L152" i="1"/>
  <c r="L153" i="1" a="1"/>
  <c r="L153" i="1" s="1"/>
  <c r="L154" i="1" a="1"/>
  <c r="L154" i="1" s="1"/>
  <c r="L155" i="1" a="1"/>
  <c r="L155" i="1" s="1"/>
  <c r="L156" i="1" a="1"/>
  <c r="L156" i="1"/>
  <c r="L157" i="1" a="1"/>
  <c r="L157" i="1" s="1"/>
  <c r="L158" i="1" a="1"/>
  <c r="L158" i="1" s="1"/>
  <c r="L159" i="1" a="1"/>
  <c r="L159" i="1" s="1"/>
  <c r="L160" i="1" a="1"/>
  <c r="L160" i="1"/>
  <c r="L161" i="1" a="1"/>
  <c r="L161" i="1" s="1"/>
  <c r="L162" i="1" a="1"/>
  <c r="L162" i="1" s="1"/>
  <c r="L163" i="1" a="1"/>
  <c r="L163" i="1" s="1"/>
  <c r="L164" i="1" a="1"/>
  <c r="L164" i="1"/>
  <c r="L165" i="1" a="1"/>
  <c r="L165" i="1" s="1"/>
  <c r="L166" i="1" a="1"/>
  <c r="L166" i="1" s="1"/>
  <c r="L167" i="1" a="1"/>
  <c r="L167" i="1" s="1"/>
  <c r="L168" i="1" a="1"/>
  <c r="L168" i="1"/>
  <c r="L169" i="1" a="1"/>
  <c r="L169" i="1" s="1"/>
  <c r="L170" i="1" a="1"/>
  <c r="L170" i="1" s="1"/>
  <c r="L171" i="1" a="1"/>
  <c r="L171" i="1" s="1"/>
  <c r="L172" i="1" a="1"/>
  <c r="L172" i="1"/>
  <c r="L173" i="1" a="1"/>
  <c r="L173" i="1" s="1"/>
  <c r="L174" i="1" a="1"/>
  <c r="L174" i="1" s="1"/>
  <c r="L2" i="1" a="1"/>
  <c r="L2" i="1" s="1"/>
  <c r="F32" i="2" l="1"/>
  <c r="F30" i="2"/>
  <c r="F37" i="2"/>
  <c r="F33" i="2"/>
  <c r="F36" i="2"/>
  <c r="F31" i="2"/>
  <c r="F28" i="2"/>
  <c r="D45" i="2"/>
  <c r="E43" i="2" s="1"/>
  <c r="F35" i="2"/>
  <c r="F25" i="2"/>
  <c r="F38" i="2" l="1"/>
  <c r="E4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<sst xmlns="http://schemas.openxmlformats.org/spreadsheetml/2006/main" count="1110" uniqueCount="390">
  <si>
    <t>CIF</t>
  </si>
  <si>
    <t>Customer Name</t>
  </si>
  <si>
    <t>Usia</t>
  </si>
  <si>
    <t>Jenis Kelamin</t>
  </si>
  <si>
    <t>SND</t>
  </si>
  <si>
    <t>Kode Transaksi</t>
  </si>
  <si>
    <t>Range Usia</t>
  </si>
  <si>
    <t>Region</t>
  </si>
  <si>
    <t>Balance</t>
  </si>
  <si>
    <t>Month</t>
  </si>
  <si>
    <t>No Telepon</t>
  </si>
  <si>
    <t>Erna Susanto</t>
  </si>
  <si>
    <t>Perempuan</t>
  </si>
  <si>
    <t>SND04</t>
  </si>
  <si>
    <t>521-17187</t>
  </si>
  <si>
    <t>25-35</t>
  </si>
  <si>
    <t>Jawa Timur</t>
  </si>
  <si>
    <t>Indah Susanti</t>
  </si>
  <si>
    <t>SND12</t>
  </si>
  <si>
    <t>808-40420</t>
  </si>
  <si>
    <t>20-25</t>
  </si>
  <si>
    <t>Sulawesi Tenggara</t>
  </si>
  <si>
    <t>Gilang Wibowo</t>
  </si>
  <si>
    <t>Laki-laki</t>
  </si>
  <si>
    <t>620-47433</t>
  </si>
  <si>
    <t>35-50</t>
  </si>
  <si>
    <t>Putri Hidayat</t>
  </si>
  <si>
    <t>SND05</t>
  </si>
  <si>
    <t>413-91280</t>
  </si>
  <si>
    <t>Kalimantan</t>
  </si>
  <si>
    <t>Intan Susanto</t>
  </si>
  <si>
    <t>SND09</t>
  </si>
  <si>
    <t>521-60562</t>
  </si>
  <si>
    <t>Bali</t>
  </si>
  <si>
    <t>patrio satrio</t>
  </si>
  <si>
    <t>SND08</t>
  </si>
  <si>
    <t>712-55086</t>
  </si>
  <si>
    <t>Papua</t>
  </si>
  <si>
    <t>Kartika Wijaya</t>
  </si>
  <si>
    <t>521-81560</t>
  </si>
  <si>
    <t>&gt;50</t>
  </si>
  <si>
    <t>Nanda Sari</t>
  </si>
  <si>
    <t>621-48496</t>
  </si>
  <si>
    <t>Maya Putra</t>
  </si>
  <si>
    <t>SND03</t>
  </si>
  <si>
    <t>413-17583</t>
  </si>
  <si>
    <t>&lt;20</t>
  </si>
  <si>
    <t>Jawa Tengah</t>
  </si>
  <si>
    <t>Erna Pratama</t>
  </si>
  <si>
    <t>413-87958</t>
  </si>
  <si>
    <t>Lina Hidayat</t>
  </si>
  <si>
    <t>620-36013</t>
  </si>
  <si>
    <t>Indah Siregar</t>
  </si>
  <si>
    <t>712-96198</t>
  </si>
  <si>
    <t>Gilang Rahayu</t>
  </si>
  <si>
    <t>SND11</t>
  </si>
  <si>
    <t>620-70666</t>
  </si>
  <si>
    <t>Sulawesi Utara</t>
  </si>
  <si>
    <t>Joko Hidayat</t>
  </si>
  <si>
    <t>SND02</t>
  </si>
  <si>
    <t>712-75962</t>
  </si>
  <si>
    <t>Sumatera Selatan</t>
  </si>
  <si>
    <t>liza wijawan</t>
  </si>
  <si>
    <t>SND07</t>
  </si>
  <si>
    <t>413-82764</t>
  </si>
  <si>
    <t>DKI Jakarta</t>
  </si>
  <si>
    <t>Fajar Susanti</t>
  </si>
  <si>
    <t>712-24929</t>
  </si>
  <si>
    <t>Wulan Syahputra</t>
  </si>
  <si>
    <t>521-73584</t>
  </si>
  <si>
    <t>Hadi Saputra</t>
  </si>
  <si>
    <t>521-38080</t>
  </si>
  <si>
    <t>Ahmad Wibowo</t>
  </si>
  <si>
    <t>620-21866</t>
  </si>
  <si>
    <t>putri delima</t>
  </si>
  <si>
    <t>712-97879</t>
  </si>
  <si>
    <t>Budi Kusuma</t>
  </si>
  <si>
    <t>SND01</t>
  </si>
  <si>
    <t>621-37793</t>
  </si>
  <si>
    <t>Jawa Barat</t>
  </si>
  <si>
    <t>Budi SUDARSONO</t>
  </si>
  <si>
    <t>620-77682</t>
  </si>
  <si>
    <t>Erna   hidayat</t>
  </si>
  <si>
    <t>SND06</t>
  </si>
  <si>
    <t>712-49000</t>
  </si>
  <si>
    <t>Sumatera Utara</t>
  </si>
  <si>
    <t>Hendra Permana</t>
  </si>
  <si>
    <t>808-70388</t>
  </si>
  <si>
    <t>Hendra PermaTA</t>
  </si>
  <si>
    <t>SND10</t>
  </si>
  <si>
    <t>413-31726</t>
  </si>
  <si>
    <t>Maluku</t>
  </si>
  <si>
    <t>hikmanto</t>
  </si>
  <si>
    <t>621-26804</t>
  </si>
  <si>
    <t>Yudi Purnama</t>
  </si>
  <si>
    <t>712-60473</t>
  </si>
  <si>
    <t>Joko Sari</t>
  </si>
  <si>
    <t>621-34755</t>
  </si>
  <si>
    <t>Joko Triano</t>
  </si>
  <si>
    <t>620-93936</t>
  </si>
  <si>
    <t>Putri Wijaya</t>
  </si>
  <si>
    <t>808-44352</t>
  </si>
  <si>
    <t>Indah Halim</t>
  </si>
  <si>
    <t>413-69351</t>
  </si>
  <si>
    <t>Hendra Rahayu</t>
  </si>
  <si>
    <t>413-19167</t>
  </si>
  <si>
    <t>Reza Frimawan</t>
  </si>
  <si>
    <t>621-47582</t>
  </si>
  <si>
    <t>Putri Nugroho</t>
  </si>
  <si>
    <t>521-60396</t>
  </si>
  <si>
    <t>Fitri Kusuma</t>
  </si>
  <si>
    <t>413-86121</t>
  </si>
  <si>
    <t>Dewi Lestari</t>
  </si>
  <si>
    <t>621-22956</t>
  </si>
  <si>
    <t>Joko Putra</t>
  </si>
  <si>
    <t>712-73137</t>
  </si>
  <si>
    <t>621-69552</t>
  </si>
  <si>
    <t>Jaka Putra</t>
  </si>
  <si>
    <t>621-77412</t>
  </si>
  <si>
    <t>Kartika Kurniawan</t>
  </si>
  <si>
    <t>521-53692</t>
  </si>
  <si>
    <t>Putri Putra</t>
  </si>
  <si>
    <t>413-46170</t>
  </si>
  <si>
    <t>Rina Ramadhan</t>
  </si>
  <si>
    <t>621-63515</t>
  </si>
  <si>
    <t>Hadi Santoso</t>
  </si>
  <si>
    <t>621-33723</t>
  </si>
  <si>
    <t>Chandra Gunawan</t>
  </si>
  <si>
    <t>808-36912</t>
  </si>
  <si>
    <t>Indah Sari</t>
  </si>
  <si>
    <t>808-79853</t>
  </si>
  <si>
    <t>Budi Sari</t>
  </si>
  <si>
    <t>413-91394</t>
  </si>
  <si>
    <t>Yudi Kurniawan</t>
  </si>
  <si>
    <t>621-79064</t>
  </si>
  <si>
    <t>Maya Lestari</t>
  </si>
  <si>
    <t>521-39213</t>
  </si>
  <si>
    <t>Indah Ramadhan</t>
  </si>
  <si>
    <t>413-12542</t>
  </si>
  <si>
    <t>SND13</t>
  </si>
  <si>
    <t>413-10734</t>
  </si>
  <si>
    <t>Unmapping</t>
  </si>
  <si>
    <t>Lina Wibowo</t>
  </si>
  <si>
    <t>712-71843</t>
  </si>
  <si>
    <t>Lina WiNARTO</t>
  </si>
  <si>
    <t>621-43038</t>
  </si>
  <si>
    <t>Kartika Santoso</t>
  </si>
  <si>
    <t>808-36215</t>
  </si>
  <si>
    <t>Ahmad Putra</t>
  </si>
  <si>
    <t>413-99253</t>
  </si>
  <si>
    <t>Gilang Syahputra</t>
  </si>
  <si>
    <t>808-33562</t>
  </si>
  <si>
    <t>Wulan  wulandARI</t>
  </si>
  <si>
    <t>620-90376</t>
  </si>
  <si>
    <t>Wulan Wibowo</t>
  </si>
  <si>
    <t>521-47683</t>
  </si>
  <si>
    <t>Johan Handoko</t>
  </si>
  <si>
    <t>413-69984</t>
  </si>
  <si>
    <t>Joko Lestari</t>
  </si>
  <si>
    <t>712-27780</t>
  </si>
  <si>
    <t>Yudi Hidayat</t>
  </si>
  <si>
    <t>521-47890</t>
  </si>
  <si>
    <t>Angga Susanto</t>
  </si>
  <si>
    <t>620-89286</t>
  </si>
  <si>
    <t>Citra Putra</t>
  </si>
  <si>
    <t>712-93499</t>
  </si>
  <si>
    <t xml:space="preserve">   Yudi handoko</t>
  </si>
  <si>
    <t>712-71932</t>
  </si>
  <si>
    <t>Yudi Handoko</t>
  </si>
  <si>
    <t>413-43068</t>
  </si>
  <si>
    <t>Citra Susanto</t>
  </si>
  <si>
    <t>621-24058</t>
  </si>
  <si>
    <t>712-41629</t>
  </si>
  <si>
    <t>Maya Wijaya</t>
  </si>
  <si>
    <t>712-25526</t>
  </si>
  <si>
    <t>Maya Wibowo</t>
  </si>
  <si>
    <t>620-14895</t>
  </si>
  <si>
    <t>Sinta Kurniawan</t>
  </si>
  <si>
    <t>621-88886</t>
  </si>
  <si>
    <t>ardhi destria</t>
  </si>
  <si>
    <t>621-81395</t>
  </si>
  <si>
    <t>ruslan wijaya</t>
  </si>
  <si>
    <t>413-57787</t>
  </si>
  <si>
    <t>Eka Putra</t>
  </si>
  <si>
    <t>712-92394</t>
  </si>
  <si>
    <t>Rina Kurniawan</t>
  </si>
  <si>
    <t>521-48118</t>
  </si>
  <si>
    <t>Erna Wibowo</t>
  </si>
  <si>
    <t>621-53362</t>
  </si>
  <si>
    <t>Eka Wijaya</t>
  </si>
  <si>
    <t>621-39212</t>
  </si>
  <si>
    <t>620-81737</t>
  </si>
  <si>
    <t>Eka Patrio</t>
  </si>
  <si>
    <t>620-70372</t>
  </si>
  <si>
    <t>Johan Nugroho</t>
  </si>
  <si>
    <t>808-67233</t>
  </si>
  <si>
    <t>Yudi Rahayu</t>
  </si>
  <si>
    <t>712-29699</t>
  </si>
  <si>
    <t>Nanda Putra</t>
  </si>
  <si>
    <t>620-10254</t>
  </si>
  <si>
    <t>Nanda    susanti</t>
  </si>
  <si>
    <t>808-78524</t>
  </si>
  <si>
    <t>Nanda Susanti</t>
  </si>
  <si>
    <t>521-67995</t>
  </si>
  <si>
    <t>808-45545</t>
  </si>
  <si>
    <t>Rina Hidayat</t>
  </si>
  <si>
    <t>620-59679</t>
  </si>
  <si>
    <t>Chandra Nugroho</t>
  </si>
  <si>
    <t>413-38538</t>
  </si>
  <si>
    <t>Putri Kusuma</t>
  </si>
  <si>
    <t>620-43341</t>
  </si>
  <si>
    <t>521-65369</t>
  </si>
  <si>
    <t>Putra Kusuma</t>
  </si>
  <si>
    <t>521-74108</t>
  </si>
  <si>
    <t>Fajar Lestari</t>
  </si>
  <si>
    <t>620-16899</t>
  </si>
  <si>
    <t>Dian Nugroho</t>
  </si>
  <si>
    <t>808-60954</t>
  </si>
  <si>
    <t>Putri Handoko</t>
  </si>
  <si>
    <t>620-39832</t>
  </si>
  <si>
    <t>indah Permana</t>
  </si>
  <si>
    <t>621-78651</t>
  </si>
  <si>
    <t>Indah Permata</t>
  </si>
  <si>
    <t>712-77981</t>
  </si>
  <si>
    <t>Bayu Kusuma</t>
  </si>
  <si>
    <t>712-58292</t>
  </si>
  <si>
    <t>Zahra Wibowo</t>
  </si>
  <si>
    <t>712-12456</t>
  </si>
  <si>
    <t>Eka Ramadhan</t>
  </si>
  <si>
    <t>621-17501</t>
  </si>
  <si>
    <t>Erna Putri</t>
  </si>
  <si>
    <t>413-66592</t>
  </si>
  <si>
    <t>Johan Putra</t>
  </si>
  <si>
    <t>621-19329</t>
  </si>
  <si>
    <t>Lina Ramadhan</t>
  </si>
  <si>
    <t>808-32312</t>
  </si>
  <si>
    <t xml:space="preserve">  Hendra    kusuma</t>
  </si>
  <si>
    <t>521-89745</t>
  </si>
  <si>
    <t>Hendra Kusuma</t>
  </si>
  <si>
    <t>808-90058</t>
  </si>
  <si>
    <t>Erna Putra</t>
  </si>
  <si>
    <t>620-20727</t>
  </si>
  <si>
    <t>Gilang Kurniawan</t>
  </si>
  <si>
    <t>620-17804</t>
  </si>
  <si>
    <t>521-53262</t>
  </si>
  <si>
    <t>Zahra Pangestu</t>
  </si>
  <si>
    <t>621-94157</t>
  </si>
  <si>
    <t>Yudi Ramadhan</t>
  </si>
  <si>
    <t>621-43802</t>
  </si>
  <si>
    <t>Oki Setiawan</t>
  </si>
  <si>
    <t>712-81802</t>
  </si>
  <si>
    <t>Chandra Saputra</t>
  </si>
  <si>
    <t>620-62089</t>
  </si>
  <si>
    <t>621-97595</t>
  </si>
  <si>
    <t>Fitri Susanti</t>
  </si>
  <si>
    <t>413-35442</t>
  </si>
  <si>
    <t>712-17572</t>
  </si>
  <si>
    <t>Intan Kusuma</t>
  </si>
  <si>
    <t>621-59035</t>
  </si>
  <si>
    <t>Yudi Santoso</t>
  </si>
  <si>
    <t>521-77876</t>
  </si>
  <si>
    <t>Yudi Susanto</t>
  </si>
  <si>
    <t>808-95218</t>
  </si>
  <si>
    <t>Johan Hidayat</t>
  </si>
  <si>
    <t>621-35090</t>
  </si>
  <si>
    <t xml:space="preserve">andini </t>
  </si>
  <si>
    <t>413-38820</t>
  </si>
  <si>
    <t>Eka Kurniawan</t>
  </si>
  <si>
    <t>521-46162</t>
  </si>
  <si>
    <t>Eko Patrio</t>
  </si>
  <si>
    <t>521-34363</t>
  </si>
  <si>
    <t>Erna Syahputra</t>
  </si>
  <si>
    <t>712-95321</t>
  </si>
  <si>
    <t>Rina Rahayu</t>
  </si>
  <si>
    <t>413-71157</t>
  </si>
  <si>
    <t>Rita Rahayu</t>
  </si>
  <si>
    <t>712-79842</t>
  </si>
  <si>
    <t>Maya Handoko</t>
  </si>
  <si>
    <t>413-85943</t>
  </si>
  <si>
    <t>Zahra Sari</t>
  </si>
  <si>
    <t>521-89216</t>
  </si>
  <si>
    <t>Joko Susanti</t>
  </si>
  <si>
    <t>521-33242</t>
  </si>
  <si>
    <t>413-53017</t>
  </si>
  <si>
    <t>Fajar Setiawan</t>
  </si>
  <si>
    <t>620-11846</t>
  </si>
  <si>
    <t>Fitri Lestari</t>
  </si>
  <si>
    <t>808-82258</t>
  </si>
  <si>
    <t>syauban mulyono</t>
  </si>
  <si>
    <t>521-60822</t>
  </si>
  <si>
    <t>Putri Kurniawan</t>
  </si>
  <si>
    <t>521-68585</t>
  </si>
  <si>
    <t>Putra Kurniawan</t>
  </si>
  <si>
    <t>620-82694</t>
  </si>
  <si>
    <t>Yudi Lestari</t>
  </si>
  <si>
    <t>808-17852</t>
  </si>
  <si>
    <t>Yuda Lestare</t>
  </si>
  <si>
    <t>521-97773</t>
  </si>
  <si>
    <t>Erna Lestari</t>
  </si>
  <si>
    <t>621-93498</t>
  </si>
  <si>
    <t>Hadi Wijaya</t>
  </si>
  <si>
    <t>413-19965</t>
  </si>
  <si>
    <t>Oki Kurniawan</t>
  </si>
  <si>
    <t>712-73027</t>
  </si>
  <si>
    <t>Oki Syahputra</t>
  </si>
  <si>
    <t>620-15117</t>
  </si>
  <si>
    <t>Zahra Rahayu</t>
  </si>
  <si>
    <t>808-10003</t>
  </si>
  <si>
    <t>Bayu Nugroho</t>
  </si>
  <si>
    <t>413-67009</t>
  </si>
  <si>
    <t>Zahra Setiawan</t>
  </si>
  <si>
    <t>413-53709</t>
  </si>
  <si>
    <t xml:space="preserve">   Indah     saputri</t>
  </si>
  <si>
    <t>712-90352</t>
  </si>
  <si>
    <t>Teguh Utami</t>
  </si>
  <si>
    <t>621-47446</t>
  </si>
  <si>
    <t>Putri Wibowo</t>
  </si>
  <si>
    <t>521-75704</t>
  </si>
  <si>
    <t>Fitri Saputra</t>
  </si>
  <si>
    <t>712-18992</t>
  </si>
  <si>
    <t>Ahmad Handoko</t>
  </si>
  <si>
    <t>808-94634</t>
  </si>
  <si>
    <t>Hadi Halim</t>
  </si>
  <si>
    <t>621-20016</t>
  </si>
  <si>
    <t>Hadi Salim</t>
  </si>
  <si>
    <t>620-58309</t>
  </si>
  <si>
    <t>Johan Sari</t>
  </si>
  <si>
    <t>808-50163</t>
  </si>
  <si>
    <t>Zahra Saputri</t>
  </si>
  <si>
    <t>413-79422</t>
  </si>
  <si>
    <t>andi lucas</t>
  </si>
  <si>
    <t>413-42121</t>
  </si>
  <si>
    <t>Hadi Kurniawan</t>
  </si>
  <si>
    <t>521-42101</t>
  </si>
  <si>
    <t>Dewa Nugroho</t>
  </si>
  <si>
    <t>413-32143</t>
  </si>
  <si>
    <t>Dewi Nugroho</t>
  </si>
  <si>
    <t>712-62120</t>
  </si>
  <si>
    <t>Oki Purnama</t>
  </si>
  <si>
    <t>620-85658</t>
  </si>
  <si>
    <t>Indah Kurniawan</t>
  </si>
  <si>
    <t>808-98532</t>
  </si>
  <si>
    <t>ines wardana</t>
  </si>
  <si>
    <t>808-55246</t>
  </si>
  <si>
    <t>Gilang Handoko</t>
  </si>
  <si>
    <t>621-43036</t>
  </si>
  <si>
    <t>Citra Ramadhan</t>
  </si>
  <si>
    <t>620-85166</t>
  </si>
  <si>
    <t>susan navaro</t>
  </si>
  <si>
    <t>808-83054</t>
  </si>
  <si>
    <t>Teguh Santoso</t>
  </si>
  <si>
    <t>521-78748</t>
  </si>
  <si>
    <t>anggun sasmita</t>
  </si>
  <si>
    <t>620-31706</t>
  </si>
  <si>
    <t>Hadi Saputri</t>
  </si>
  <si>
    <t>620-57924</t>
  </si>
  <si>
    <t>808-60518</t>
  </si>
  <si>
    <t>ari suteri</t>
  </si>
  <si>
    <t>413-57677</t>
  </si>
  <si>
    <t>Total Balance</t>
  </si>
  <si>
    <t>Rata-Rata Balance</t>
  </si>
  <si>
    <t>No Asli</t>
  </si>
  <si>
    <t>No palsu</t>
  </si>
  <si>
    <t>&gt;12</t>
  </si>
  <si>
    <t>Flag</t>
  </si>
  <si>
    <t>Ratio</t>
  </si>
  <si>
    <t>Logic</t>
  </si>
  <si>
    <t>&lt;=9</t>
  </si>
  <si>
    <t>10-12</t>
  </si>
  <si>
    <t>I. Performa Funding Region Based On Total And Average Funding</t>
  </si>
  <si>
    <t>FUNDING PERFORMANCE</t>
  </si>
  <si>
    <t>II. Performa Funding By Gender For Each Reagion</t>
  </si>
  <si>
    <t>Male</t>
  </si>
  <si>
    <t>Female</t>
  </si>
  <si>
    <t>Balance by Gender</t>
  </si>
  <si>
    <t>III. Validation Phone Number</t>
  </si>
  <si>
    <t>Categories</t>
  </si>
  <si>
    <t>Total Data</t>
  </si>
  <si>
    <t>Valid Number</t>
  </si>
  <si>
    <t>Invalid Number</t>
  </si>
  <si>
    <t>Grand Total Data</t>
  </si>
  <si>
    <t>IV. Analysis Finding</t>
  </si>
  <si>
    <t>Total</t>
  </si>
  <si>
    <t xml:space="preserve">- Jawa Timur recorded the highest total funding balance at 93,870,670, while Sumatera Utara had </t>
  </si>
  <si>
    <t>the lowest total funding balance at 42,021,415</t>
  </si>
  <si>
    <t>- Overall, the total funding contributed by male customers (462,722,464) was higher than</t>
  </si>
  <si>
    <t>female customers (416,660,778)</t>
  </si>
  <si>
    <t>- Bali recorded the highest funding contribution from male customers, totaling 65,245,718</t>
  </si>
  <si>
    <t xml:space="preserve">- Only 49% of phone numbers were classified as valid, while 51% were identified as invalid, </t>
  </si>
  <si>
    <t>indicating that improvements in data quality are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</si>
</sst>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mmmm\-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2" fillId="0" borderId="0" xfId="0" applyFont="1"/>
    <xf numFmtId="0" fontId="2" fillId="0" borderId="1" xfId="0" applyFont="1" applyBorder="1"/>
    <xf numFmtId="165" fontId="2" fillId="0" borderId="1" xfId="1" applyNumberFormat="1" applyFont="1" applyBorder="1"/>
    <xf numFmtId="10" fontId="2" fillId="0" borderId="0" xfId="2" applyNumberFormat="1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165" fontId="2" fillId="0" borderId="1" xfId="0" applyNumberFormat="1" applyFont="1" applyBorder="1"/>
    <xf numFmtId="165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quotePrefix="1" applyFont="1"/>
    <xf numFmtId="0" fontId="3" fillId="0" borderId="1" xfId="0" applyFont="1" applyBorder="1"/>
    <xf numFmtId="165" fontId="3" fillId="0" borderId="1" xfId="1" applyNumberFormat="1" applyFont="1" applyBorder="1"/>
    <xf numFmtId="0" fontId="0" fillId="0" borderId="1" xfId="0" applyBorder="1"/>
    <xf numFmtId="16" fontId="0" fillId="0" borderId="1" xfId="0" quotePrefix="1" applyNumberForma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/>
    <xf numFmtId="0" fontId="5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04BC-F2A8-43A7-9D6A-696B7DB17125}">
  <dimension ref="A1:Q174"/>
  <sheetViews>
    <sheetView tabSelected="1" workbookViewId="0">
      <selection activeCell="P2" sqref="P2"/>
    </sheetView>
  </sheetViews>
  <sheetFormatPr defaultRowHeight="14.5" x14ac:dyDescent="0.35"/>
  <cols>
    <col min="1" max="1" width="7.81640625" bestFit="1" customWidth="1"/>
    <col min="2" max="2" width="15.7265625" bestFit="1" customWidth="1"/>
    <col min="3" max="3" width="4.453125" bestFit="1" customWidth="1"/>
    <col min="4" max="4" width="11.6328125" bestFit="1" customWidth="1"/>
    <col min="5" max="5" width="6.36328125" bestFit="1" customWidth="1"/>
    <col min="6" max="6" width="13" bestFit="1" customWidth="1"/>
    <col min="7" max="7" width="9.81640625" bestFit="1" customWidth="1"/>
    <col min="8" max="8" width="15.7265625" bestFit="1" customWidth="1"/>
    <col min="9" max="9" width="10.1796875" bestFit="1" customWidth="1"/>
    <col min="10" max="10" width="12.26953125" bestFit="1" customWidth="1"/>
    <col min="11" max="11" width="11.81640625" bestFit="1" customWidth="1"/>
  </cols>
  <sheetData>
    <row r="1" spans="1:17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9" t="s">
        <v>7</v>
      </c>
      <c r="I1" s="28" t="s">
        <v>8</v>
      </c>
      <c r="J1" s="28" t="s">
        <v>9</v>
      </c>
      <c r="K1" s="28" t="s">
        <v>10</v>
      </c>
      <c r="L1" s="28" t="s">
        <v>364</v>
      </c>
      <c r="P1" s="26" t="s">
        <v>366</v>
      </c>
      <c r="Q1" s="27"/>
    </row>
    <row r="2" spans="1:17" x14ac:dyDescent="0.35">
      <c r="A2">
        <v>1173603</v>
      </c>
      <c r="B2" t="s">
        <v>11</v>
      </c>
      <c r="C2">
        <v>30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7349830</v>
      </c>
      <c r="J2" s="2">
        <v>45658</v>
      </c>
      <c r="K2">
        <v>81134566</v>
      </c>
      <c r="L2" t="str" cm="1">
        <f t="array" ref="L2">_xlfn.IFS(LEN(K2)&lt;=9,"No Palsu",LEN(K2)&lt;=12,"No Asli",LEN(K2)&gt;12,"No Palsu")</f>
        <v>No Palsu</v>
      </c>
      <c r="P2" s="24" t="s">
        <v>361</v>
      </c>
      <c r="Q2" s="25" t="s">
        <v>368</v>
      </c>
    </row>
    <row r="3" spans="1:17" x14ac:dyDescent="0.35">
      <c r="A3">
        <v>1204998</v>
      </c>
      <c r="B3" t="s">
        <v>17</v>
      </c>
      <c r="C3">
        <v>25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  <c r="I3" s="1">
        <v>2819899</v>
      </c>
      <c r="J3" s="2">
        <v>45689</v>
      </c>
      <c r="K3">
        <v>82134527811</v>
      </c>
      <c r="L3" t="str" cm="1">
        <f t="array" ref="L3">_xlfn.IFS(LEN(K3)&lt;=9,"No Palsu",LEN(K3)&lt;=12,"No Asli",LEN(K3)&gt;12,"No Palsu")</f>
        <v>No Asli</v>
      </c>
      <c r="P3" s="24" t="s">
        <v>362</v>
      </c>
      <c r="Q3" s="24" t="s">
        <v>363</v>
      </c>
    </row>
    <row r="4" spans="1:17" x14ac:dyDescent="0.35">
      <c r="A4">
        <v>1285551</v>
      </c>
      <c r="B4" t="s">
        <v>22</v>
      </c>
      <c r="C4">
        <v>49</v>
      </c>
      <c r="D4" t="s">
        <v>23</v>
      </c>
      <c r="E4" t="s">
        <v>18</v>
      </c>
      <c r="F4" t="s">
        <v>24</v>
      </c>
      <c r="G4" t="s">
        <v>25</v>
      </c>
      <c r="H4" t="s">
        <v>21</v>
      </c>
      <c r="I4" s="1">
        <v>5489398</v>
      </c>
      <c r="J4" s="2">
        <v>45717</v>
      </c>
      <c r="K4">
        <v>811322674</v>
      </c>
      <c r="L4" t="str" cm="1">
        <f t="array" ref="L4">_xlfn.IFS(LEN(K4)&lt;=9,"No Palsu",LEN(K4)&lt;=12,"No Asli",LEN(K4)&gt;12,"No Palsu")</f>
        <v>No Palsu</v>
      </c>
      <c r="P4" s="24" t="s">
        <v>362</v>
      </c>
      <c r="Q4" s="24" t="s">
        <v>367</v>
      </c>
    </row>
    <row r="5" spans="1:17" x14ac:dyDescent="0.35">
      <c r="A5">
        <v>1299582</v>
      </c>
      <c r="B5" t="s">
        <v>26</v>
      </c>
      <c r="C5">
        <v>26</v>
      </c>
      <c r="D5" t="s">
        <v>23</v>
      </c>
      <c r="E5" t="s">
        <v>27</v>
      </c>
      <c r="F5" t="s">
        <v>28</v>
      </c>
      <c r="G5" t="s">
        <v>15</v>
      </c>
      <c r="H5" t="s">
        <v>29</v>
      </c>
      <c r="I5" s="1">
        <v>6481487</v>
      </c>
      <c r="J5" s="2">
        <v>45748</v>
      </c>
      <c r="K5">
        <v>8582334567896</v>
      </c>
      <c r="L5" t="str" cm="1">
        <f t="array" ref="L5">_xlfn.IFS(LEN(K5)&lt;=9,"No Palsu",LEN(K5)&lt;=12,"No Asli",LEN(K5)&gt;12,"No Palsu")</f>
        <v>No Palsu</v>
      </c>
    </row>
    <row r="6" spans="1:17" x14ac:dyDescent="0.35">
      <c r="A6">
        <v>1299582</v>
      </c>
      <c r="B6" t="s">
        <v>26</v>
      </c>
      <c r="C6">
        <v>26</v>
      </c>
      <c r="D6" t="s">
        <v>23</v>
      </c>
      <c r="E6" t="s">
        <v>27</v>
      </c>
      <c r="F6" t="s">
        <v>28</v>
      </c>
      <c r="G6" t="s">
        <v>15</v>
      </c>
      <c r="H6" t="s">
        <v>29</v>
      </c>
      <c r="I6" s="1">
        <v>6481487</v>
      </c>
      <c r="J6" s="2">
        <v>45778</v>
      </c>
      <c r="K6">
        <v>8213456789</v>
      </c>
      <c r="L6" t="str" cm="1">
        <f t="array" ref="L6">_xlfn.IFS(LEN(K6)&lt;=9,"No Palsu",LEN(K6)&lt;=12,"No Asli",LEN(K6)&gt;12,"No Palsu")</f>
        <v>No Asli</v>
      </c>
    </row>
    <row r="7" spans="1:17" x14ac:dyDescent="0.35">
      <c r="A7">
        <v>1336094</v>
      </c>
      <c r="B7" t="s">
        <v>30</v>
      </c>
      <c r="C7">
        <v>28</v>
      </c>
      <c r="D7" t="s">
        <v>23</v>
      </c>
      <c r="E7" t="s">
        <v>31</v>
      </c>
      <c r="F7" t="s">
        <v>32</v>
      </c>
      <c r="G7" t="s">
        <v>15</v>
      </c>
      <c r="H7" t="s">
        <v>33</v>
      </c>
      <c r="I7" s="1">
        <v>9601023</v>
      </c>
      <c r="J7" s="2">
        <v>45809</v>
      </c>
      <c r="K7">
        <v>8221907561</v>
      </c>
      <c r="L7" t="str" cm="1">
        <f t="array" ref="L7">_xlfn.IFS(LEN(K7)&lt;=9,"No Palsu",LEN(K7)&lt;=12,"No Asli",LEN(K7)&gt;12,"No Palsu")</f>
        <v>No Asli</v>
      </c>
    </row>
    <row r="8" spans="1:17" x14ac:dyDescent="0.35">
      <c r="A8">
        <v>1357884</v>
      </c>
      <c r="B8" t="s">
        <v>34</v>
      </c>
      <c r="C8">
        <v>21</v>
      </c>
      <c r="D8" t="s">
        <v>23</v>
      </c>
      <c r="E8" t="s">
        <v>35</v>
      </c>
      <c r="F8" t="s">
        <v>36</v>
      </c>
      <c r="G8" t="s">
        <v>20</v>
      </c>
      <c r="H8" t="s">
        <v>37</v>
      </c>
      <c r="I8" s="1">
        <v>7966406</v>
      </c>
      <c r="J8" s="2">
        <v>45839</v>
      </c>
      <c r="K8">
        <v>81134567888</v>
      </c>
      <c r="L8" t="str" cm="1">
        <f t="array" ref="L8">_xlfn.IFS(LEN(K8)&lt;=9,"No Palsu",LEN(K8)&lt;=12,"No Asli",LEN(K8)&gt;12,"No Palsu")</f>
        <v>No Asli</v>
      </c>
    </row>
    <row r="9" spans="1:17" x14ac:dyDescent="0.35">
      <c r="A9">
        <v>1425629</v>
      </c>
      <c r="B9" t="s">
        <v>38</v>
      </c>
      <c r="C9">
        <v>57</v>
      </c>
      <c r="D9" t="s">
        <v>23</v>
      </c>
      <c r="E9" t="s">
        <v>18</v>
      </c>
      <c r="F9" t="s">
        <v>39</v>
      </c>
      <c r="G9" t="s">
        <v>40</v>
      </c>
      <c r="H9" t="s">
        <v>21</v>
      </c>
      <c r="I9" s="1">
        <v>8348293</v>
      </c>
      <c r="J9" s="2">
        <v>45870</v>
      </c>
      <c r="K9">
        <v>8083421567892</v>
      </c>
      <c r="L9" t="str" cm="1">
        <f t="array" ref="L9">_xlfn.IFS(LEN(K9)&lt;=9,"No Palsu",LEN(K9)&lt;=12,"No Asli",LEN(K9)&gt;12,"No Palsu")</f>
        <v>No Palsu</v>
      </c>
    </row>
    <row r="10" spans="1:17" x14ac:dyDescent="0.35">
      <c r="A10">
        <v>1523208</v>
      </c>
      <c r="B10" t="s">
        <v>41</v>
      </c>
      <c r="C10">
        <v>30</v>
      </c>
      <c r="D10" t="s">
        <v>23</v>
      </c>
      <c r="E10" t="s">
        <v>13</v>
      </c>
      <c r="F10" t="s">
        <v>42</v>
      </c>
      <c r="G10" t="s">
        <v>15</v>
      </c>
      <c r="H10" t="s">
        <v>16</v>
      </c>
      <c r="I10" s="1">
        <v>1585762</v>
      </c>
      <c r="J10" s="2">
        <v>45901</v>
      </c>
      <c r="K10">
        <v>81134566</v>
      </c>
      <c r="L10" t="str" cm="1">
        <f t="array" ref="L10">_xlfn.IFS(LEN(K10)&lt;=9,"No Palsu",LEN(K10)&lt;=12,"No Asli",LEN(K10)&gt;12,"No Palsu")</f>
        <v>No Palsu</v>
      </c>
    </row>
    <row r="11" spans="1:17" x14ac:dyDescent="0.35">
      <c r="A11">
        <v>1611608</v>
      </c>
      <c r="B11" t="s">
        <v>43</v>
      </c>
      <c r="C11">
        <v>16</v>
      </c>
      <c r="D11" t="s">
        <v>23</v>
      </c>
      <c r="E11" t="s">
        <v>44</v>
      </c>
      <c r="F11" t="s">
        <v>45</v>
      </c>
      <c r="G11" t="s">
        <v>46</v>
      </c>
      <c r="H11" t="s">
        <v>47</v>
      </c>
      <c r="I11" s="1">
        <v>6918785</v>
      </c>
      <c r="J11" s="2">
        <v>45931</v>
      </c>
      <c r="K11">
        <v>82134527811</v>
      </c>
      <c r="L11" t="str" cm="1">
        <f t="array" ref="L11">_xlfn.IFS(LEN(K11)&lt;=9,"No Palsu",LEN(K11)&lt;=12,"No Asli",LEN(K11)&gt;12,"No Palsu")</f>
        <v>No Asli</v>
      </c>
    </row>
    <row r="12" spans="1:17" x14ac:dyDescent="0.35">
      <c r="A12">
        <v>1650584</v>
      </c>
      <c r="B12" t="s">
        <v>48</v>
      </c>
      <c r="C12">
        <v>33</v>
      </c>
      <c r="D12" t="s">
        <v>12</v>
      </c>
      <c r="E12" t="s">
        <v>35</v>
      </c>
      <c r="F12" t="s">
        <v>49</v>
      </c>
      <c r="G12" t="s">
        <v>15</v>
      </c>
      <c r="H12" t="s">
        <v>37</v>
      </c>
      <c r="I12" s="1">
        <v>2361255</v>
      </c>
      <c r="J12" s="2">
        <v>45962</v>
      </c>
      <c r="K12">
        <v>811322674</v>
      </c>
      <c r="L12" t="str" cm="1">
        <f t="array" ref="L12">_xlfn.IFS(LEN(K12)&lt;=9,"No Palsu",LEN(K12)&lt;=12,"No Asli",LEN(K12)&gt;12,"No Palsu")</f>
        <v>No Palsu</v>
      </c>
    </row>
    <row r="13" spans="1:17" x14ac:dyDescent="0.35">
      <c r="A13">
        <v>1662297</v>
      </c>
      <c r="B13" t="s">
        <v>50</v>
      </c>
      <c r="C13">
        <v>23</v>
      </c>
      <c r="D13" t="s">
        <v>12</v>
      </c>
      <c r="E13" t="s">
        <v>44</v>
      </c>
      <c r="F13" t="s">
        <v>51</v>
      </c>
      <c r="G13" t="s">
        <v>20</v>
      </c>
      <c r="H13" t="s">
        <v>47</v>
      </c>
      <c r="I13" s="1">
        <v>4486948</v>
      </c>
      <c r="J13" s="2">
        <v>45992</v>
      </c>
      <c r="K13">
        <v>8582334567896</v>
      </c>
      <c r="L13" t="str" cm="1">
        <f t="array" ref="L13">_xlfn.IFS(LEN(K13)&lt;=9,"No Palsu",LEN(K13)&lt;=12,"No Asli",LEN(K13)&gt;12,"No Palsu")</f>
        <v>No Palsu</v>
      </c>
    </row>
    <row r="14" spans="1:17" x14ac:dyDescent="0.35">
      <c r="A14">
        <v>1813196</v>
      </c>
      <c r="B14" t="s">
        <v>52</v>
      </c>
      <c r="C14">
        <v>56</v>
      </c>
      <c r="D14" t="s">
        <v>12</v>
      </c>
      <c r="E14" t="s">
        <v>44</v>
      </c>
      <c r="F14" t="s">
        <v>53</v>
      </c>
      <c r="G14" t="s">
        <v>40</v>
      </c>
      <c r="H14" t="s">
        <v>47</v>
      </c>
      <c r="I14" s="1">
        <v>5986742</v>
      </c>
      <c r="J14" s="2">
        <v>45658</v>
      </c>
      <c r="K14">
        <v>8213456789</v>
      </c>
      <c r="L14" t="str" cm="1">
        <f t="array" ref="L14">_xlfn.IFS(LEN(K14)&lt;=9,"No Palsu",LEN(K14)&lt;=12,"No Asli",LEN(K14)&gt;12,"No Palsu")</f>
        <v>No Asli</v>
      </c>
    </row>
    <row r="15" spans="1:17" x14ac:dyDescent="0.35">
      <c r="A15">
        <v>1844086</v>
      </c>
      <c r="B15" t="s">
        <v>54</v>
      </c>
      <c r="C15">
        <v>53</v>
      </c>
      <c r="D15" t="s">
        <v>12</v>
      </c>
      <c r="E15" t="s">
        <v>55</v>
      </c>
      <c r="F15" t="s">
        <v>56</v>
      </c>
      <c r="G15" t="s">
        <v>40</v>
      </c>
      <c r="H15" t="s">
        <v>57</v>
      </c>
      <c r="I15" s="1">
        <v>6349125</v>
      </c>
      <c r="J15" s="2">
        <v>45689</v>
      </c>
      <c r="K15">
        <v>8221907561</v>
      </c>
      <c r="L15" t="str" cm="1">
        <f t="array" ref="L15">_xlfn.IFS(LEN(K15)&lt;=9,"No Palsu",LEN(K15)&lt;=12,"No Asli",LEN(K15)&gt;12,"No Palsu")</f>
        <v>No Asli</v>
      </c>
    </row>
    <row r="16" spans="1:17" x14ac:dyDescent="0.35">
      <c r="A16">
        <v>1894133</v>
      </c>
      <c r="B16" t="s">
        <v>58</v>
      </c>
      <c r="C16">
        <v>16</v>
      </c>
      <c r="D16" t="s">
        <v>23</v>
      </c>
      <c r="E16" t="s">
        <v>59</v>
      </c>
      <c r="F16" t="s">
        <v>60</v>
      </c>
      <c r="G16" t="s">
        <v>46</v>
      </c>
      <c r="H16" t="s">
        <v>61</v>
      </c>
      <c r="I16" s="1">
        <v>3491453</v>
      </c>
      <c r="J16" s="2">
        <v>45717</v>
      </c>
      <c r="K16">
        <v>81134567888</v>
      </c>
      <c r="L16" t="str" cm="1">
        <f t="array" ref="L16">_xlfn.IFS(LEN(K16)&lt;=9,"No Palsu",LEN(K16)&lt;=12,"No Asli",LEN(K16)&gt;12,"No Palsu")</f>
        <v>No Asli</v>
      </c>
    </row>
    <row r="17" spans="1:12" x14ac:dyDescent="0.35">
      <c r="A17">
        <v>2085496</v>
      </c>
      <c r="B17" t="s">
        <v>62</v>
      </c>
      <c r="C17">
        <v>27</v>
      </c>
      <c r="D17" t="s">
        <v>12</v>
      </c>
      <c r="E17" t="s">
        <v>63</v>
      </c>
      <c r="F17" t="s">
        <v>64</v>
      </c>
      <c r="G17" t="s">
        <v>15</v>
      </c>
      <c r="H17" t="s">
        <v>65</v>
      </c>
      <c r="I17" s="1">
        <v>3227726</v>
      </c>
      <c r="J17" s="2">
        <v>45748</v>
      </c>
      <c r="K17">
        <v>8083421567892</v>
      </c>
      <c r="L17" t="str" cm="1">
        <f t="array" ref="L17">_xlfn.IFS(LEN(K17)&lt;=9,"No Palsu",LEN(K17)&lt;=12,"No Asli",LEN(K17)&gt;12,"No Palsu")</f>
        <v>No Palsu</v>
      </c>
    </row>
    <row r="18" spans="1:12" x14ac:dyDescent="0.35">
      <c r="A18">
        <v>2136937</v>
      </c>
      <c r="B18" t="s">
        <v>66</v>
      </c>
      <c r="C18">
        <v>23</v>
      </c>
      <c r="D18" t="s">
        <v>23</v>
      </c>
      <c r="E18" t="s">
        <v>59</v>
      </c>
      <c r="F18" t="s">
        <v>67</v>
      </c>
      <c r="G18" t="s">
        <v>20</v>
      </c>
      <c r="H18" t="s">
        <v>61</v>
      </c>
      <c r="I18" s="1">
        <v>9373992</v>
      </c>
      <c r="J18" s="2">
        <v>45778</v>
      </c>
      <c r="K18">
        <v>81134566</v>
      </c>
      <c r="L18" t="str" cm="1">
        <f t="array" ref="L18">_xlfn.IFS(LEN(K18)&lt;=9,"No Palsu",LEN(K18)&lt;=12,"No Asli",LEN(K18)&gt;12,"No Palsu")</f>
        <v>No Palsu</v>
      </c>
    </row>
    <row r="19" spans="1:12" x14ac:dyDescent="0.35">
      <c r="A19">
        <v>2200915</v>
      </c>
      <c r="B19" t="s">
        <v>68</v>
      </c>
      <c r="C19">
        <v>53</v>
      </c>
      <c r="D19" t="s">
        <v>23</v>
      </c>
      <c r="E19" t="s">
        <v>44</v>
      </c>
      <c r="F19" t="s">
        <v>69</v>
      </c>
      <c r="G19" t="s">
        <v>40</v>
      </c>
      <c r="H19" t="s">
        <v>47</v>
      </c>
      <c r="I19" s="1">
        <v>9677927</v>
      </c>
      <c r="J19" s="2">
        <v>45809</v>
      </c>
      <c r="K19">
        <v>82134527811</v>
      </c>
      <c r="L19" t="str" cm="1">
        <f t="array" ref="L19">_xlfn.IFS(LEN(K19)&lt;=9,"No Palsu",LEN(K19)&lt;=12,"No Asli",LEN(K19)&gt;12,"No Palsu")</f>
        <v>No Asli</v>
      </c>
    </row>
    <row r="20" spans="1:12" x14ac:dyDescent="0.35">
      <c r="A20">
        <v>2244934</v>
      </c>
      <c r="B20" t="s">
        <v>70</v>
      </c>
      <c r="C20">
        <v>20</v>
      </c>
      <c r="D20" t="s">
        <v>23</v>
      </c>
      <c r="E20" t="s">
        <v>18</v>
      </c>
      <c r="F20" t="s">
        <v>71</v>
      </c>
      <c r="G20" t="s">
        <v>46</v>
      </c>
      <c r="H20" t="s">
        <v>21</v>
      </c>
      <c r="I20" s="1">
        <v>8932181</v>
      </c>
      <c r="J20" s="2">
        <v>45839</v>
      </c>
      <c r="K20">
        <v>811322674</v>
      </c>
      <c r="L20" t="str" cm="1">
        <f t="array" ref="L20">_xlfn.IFS(LEN(K20)&lt;=9,"No Palsu",LEN(K20)&lt;=12,"No Asli",LEN(K20)&gt;12,"No Palsu")</f>
        <v>No Palsu</v>
      </c>
    </row>
    <row r="21" spans="1:12" x14ac:dyDescent="0.35">
      <c r="A21">
        <v>2246321</v>
      </c>
      <c r="B21" t="s">
        <v>72</v>
      </c>
      <c r="C21">
        <v>33</v>
      </c>
      <c r="D21" t="s">
        <v>23</v>
      </c>
      <c r="E21" t="s">
        <v>27</v>
      </c>
      <c r="F21" t="s">
        <v>73</v>
      </c>
      <c r="G21" t="s">
        <v>15</v>
      </c>
      <c r="H21" t="s">
        <v>29</v>
      </c>
      <c r="I21" s="1">
        <v>7307106</v>
      </c>
      <c r="J21" s="2">
        <v>45870</v>
      </c>
      <c r="K21">
        <v>8582334567896</v>
      </c>
      <c r="L21" t="str" cm="1">
        <f t="array" ref="L21">_xlfn.IFS(LEN(K21)&lt;=9,"No Palsu",LEN(K21)&lt;=12,"No Asli",LEN(K21)&gt;12,"No Palsu")</f>
        <v>No Palsu</v>
      </c>
    </row>
    <row r="22" spans="1:12" x14ac:dyDescent="0.35">
      <c r="A22">
        <v>2249378</v>
      </c>
      <c r="B22" t="s">
        <v>74</v>
      </c>
      <c r="C22">
        <v>19</v>
      </c>
      <c r="D22" t="s">
        <v>12</v>
      </c>
      <c r="E22" t="s">
        <v>35</v>
      </c>
      <c r="F22" t="s">
        <v>75</v>
      </c>
      <c r="G22" t="s">
        <v>46</v>
      </c>
      <c r="H22" t="s">
        <v>37</v>
      </c>
      <c r="I22" s="1">
        <v>2878801</v>
      </c>
      <c r="J22" s="2">
        <v>45901</v>
      </c>
      <c r="K22">
        <v>8213456789</v>
      </c>
      <c r="L22" t="str" cm="1">
        <f t="array" ref="L22">_xlfn.IFS(LEN(K22)&lt;=9,"No Palsu",LEN(K22)&lt;=12,"No Asli",LEN(K22)&gt;12,"No Palsu")</f>
        <v>No Asli</v>
      </c>
    </row>
    <row r="23" spans="1:12" x14ac:dyDescent="0.35">
      <c r="A23">
        <v>2287021</v>
      </c>
      <c r="B23" t="s">
        <v>76</v>
      </c>
      <c r="C23">
        <v>60</v>
      </c>
      <c r="D23" t="s">
        <v>23</v>
      </c>
      <c r="E23" t="s">
        <v>77</v>
      </c>
      <c r="F23" t="s">
        <v>78</v>
      </c>
      <c r="G23" t="s">
        <v>40</v>
      </c>
      <c r="H23" t="s">
        <v>79</v>
      </c>
      <c r="I23" s="1">
        <v>2013317</v>
      </c>
      <c r="J23" s="2">
        <v>45931</v>
      </c>
      <c r="K23">
        <v>8221907561</v>
      </c>
      <c r="L23" t="str" cm="1">
        <f t="array" ref="L23">_xlfn.IFS(LEN(K23)&lt;=9,"No Palsu",LEN(K23)&lt;=12,"No Asli",LEN(K23)&gt;12,"No Palsu")</f>
        <v>No Asli</v>
      </c>
    </row>
    <row r="24" spans="1:12" x14ac:dyDescent="0.35">
      <c r="A24">
        <v>2287020</v>
      </c>
      <c r="B24" t="s">
        <v>80</v>
      </c>
      <c r="C24">
        <v>35</v>
      </c>
      <c r="D24" t="s">
        <v>12</v>
      </c>
      <c r="E24" t="s">
        <v>44</v>
      </c>
      <c r="F24" t="s">
        <v>81</v>
      </c>
      <c r="G24" t="s">
        <v>15</v>
      </c>
      <c r="H24" t="s">
        <v>47</v>
      </c>
      <c r="I24" s="1">
        <v>2953750</v>
      </c>
      <c r="J24" s="2">
        <v>45962</v>
      </c>
      <c r="K24">
        <v>81134567888</v>
      </c>
      <c r="L24" t="str" cm="1">
        <f t="array" ref="L24">_xlfn.IFS(LEN(K24)&lt;=9,"No Palsu",LEN(K24)&lt;=12,"No Asli",LEN(K24)&gt;12,"No Palsu")</f>
        <v>No Asli</v>
      </c>
    </row>
    <row r="25" spans="1:12" x14ac:dyDescent="0.35">
      <c r="A25">
        <v>2288253</v>
      </c>
      <c r="B25" t="s">
        <v>82</v>
      </c>
      <c r="C25">
        <v>30</v>
      </c>
      <c r="D25" t="s">
        <v>12</v>
      </c>
      <c r="E25" t="s">
        <v>83</v>
      </c>
      <c r="F25" t="s">
        <v>84</v>
      </c>
      <c r="G25" t="s">
        <v>15</v>
      </c>
      <c r="H25" t="s">
        <v>85</v>
      </c>
      <c r="I25" s="1">
        <v>4781807</v>
      </c>
      <c r="J25" s="2">
        <v>45992</v>
      </c>
      <c r="K25">
        <v>8083421567892</v>
      </c>
      <c r="L25" t="str" cm="1">
        <f t="array" ref="L25">_xlfn.IFS(LEN(K25)&lt;=9,"No Palsu",LEN(K25)&lt;=12,"No Asli",LEN(K25)&gt;12,"No Palsu")</f>
        <v>No Palsu</v>
      </c>
    </row>
    <row r="26" spans="1:12" x14ac:dyDescent="0.35">
      <c r="A26">
        <v>2288253</v>
      </c>
      <c r="B26" t="s">
        <v>82</v>
      </c>
      <c r="C26">
        <v>30</v>
      </c>
      <c r="D26" t="s">
        <v>12</v>
      </c>
      <c r="E26" t="s">
        <v>83</v>
      </c>
      <c r="F26" t="s">
        <v>84</v>
      </c>
      <c r="G26" t="s">
        <v>15</v>
      </c>
      <c r="H26" t="s">
        <v>85</v>
      </c>
      <c r="I26" s="1">
        <v>4781807</v>
      </c>
      <c r="J26" s="2">
        <v>45658</v>
      </c>
      <c r="K26">
        <v>81134566</v>
      </c>
      <c r="L26" t="str" cm="1">
        <f t="array" ref="L26">_xlfn.IFS(LEN(K26)&lt;=9,"No Palsu",LEN(K26)&lt;=12,"No Asli",LEN(K26)&gt;12,"No Palsu")</f>
        <v>No Palsu</v>
      </c>
    </row>
    <row r="27" spans="1:12" x14ac:dyDescent="0.35">
      <c r="A27">
        <v>2306909</v>
      </c>
      <c r="B27" t="s">
        <v>86</v>
      </c>
      <c r="C27">
        <v>25</v>
      </c>
      <c r="D27" t="s">
        <v>12</v>
      </c>
      <c r="E27" t="s">
        <v>13</v>
      </c>
      <c r="F27" t="s">
        <v>87</v>
      </c>
      <c r="G27" t="s">
        <v>20</v>
      </c>
      <c r="H27" t="s">
        <v>16</v>
      </c>
      <c r="I27" s="1">
        <v>4760625</v>
      </c>
      <c r="J27" s="2">
        <v>45689</v>
      </c>
      <c r="K27">
        <v>82134527811</v>
      </c>
      <c r="L27" t="str" cm="1">
        <f t="array" ref="L27">_xlfn.IFS(LEN(K27)&lt;=9,"No Palsu",LEN(K27)&lt;=12,"No Asli",LEN(K27)&gt;12,"No Palsu")</f>
        <v>No Asli</v>
      </c>
    </row>
    <row r="28" spans="1:12" x14ac:dyDescent="0.35">
      <c r="A28">
        <v>2306904</v>
      </c>
      <c r="B28" t="s">
        <v>88</v>
      </c>
      <c r="C28">
        <v>25</v>
      </c>
      <c r="D28" t="s">
        <v>12</v>
      </c>
      <c r="E28" t="s">
        <v>89</v>
      </c>
      <c r="F28" t="s">
        <v>90</v>
      </c>
      <c r="G28" t="s">
        <v>20</v>
      </c>
      <c r="H28" t="s">
        <v>91</v>
      </c>
      <c r="I28" s="1">
        <v>3819489</v>
      </c>
      <c r="J28" s="2">
        <v>45717</v>
      </c>
      <c r="K28">
        <v>811322674</v>
      </c>
      <c r="L28" t="str" cm="1">
        <f t="array" ref="L28">_xlfn.IFS(LEN(K28)&lt;=9,"No Palsu",LEN(K28)&lt;=12,"No Asli",LEN(K28)&gt;12,"No Palsu")</f>
        <v>No Palsu</v>
      </c>
    </row>
    <row r="29" spans="1:12" x14ac:dyDescent="0.35">
      <c r="A29">
        <v>2367056</v>
      </c>
      <c r="B29" t="s">
        <v>92</v>
      </c>
      <c r="C29">
        <v>18</v>
      </c>
      <c r="D29" t="s">
        <v>23</v>
      </c>
      <c r="E29" t="s">
        <v>31</v>
      </c>
      <c r="F29" t="s">
        <v>93</v>
      </c>
      <c r="G29" t="s">
        <v>46</v>
      </c>
      <c r="H29" t="s">
        <v>33</v>
      </c>
      <c r="I29" s="1">
        <v>4462722</v>
      </c>
      <c r="J29" s="2">
        <v>45748</v>
      </c>
      <c r="K29">
        <v>8582334567896</v>
      </c>
      <c r="L29" t="str" cm="1">
        <f t="array" ref="L29">_xlfn.IFS(LEN(K29)&lt;=9,"No Palsu",LEN(K29)&lt;=12,"No Asli",LEN(K29)&gt;12,"No Palsu")</f>
        <v>No Palsu</v>
      </c>
    </row>
    <row r="30" spans="1:12" x14ac:dyDescent="0.35">
      <c r="A30">
        <v>2379049</v>
      </c>
      <c r="B30" t="s">
        <v>94</v>
      </c>
      <c r="C30">
        <v>62</v>
      </c>
      <c r="D30" t="s">
        <v>23</v>
      </c>
      <c r="E30" t="s">
        <v>31</v>
      </c>
      <c r="F30" t="s">
        <v>95</v>
      </c>
      <c r="G30" t="s">
        <v>40</v>
      </c>
      <c r="H30" t="s">
        <v>33</v>
      </c>
      <c r="I30" s="1">
        <v>2188523</v>
      </c>
      <c r="J30" s="2">
        <v>45778</v>
      </c>
      <c r="K30">
        <v>8213456789</v>
      </c>
      <c r="L30" t="str" cm="1">
        <f t="array" ref="L30">_xlfn.IFS(LEN(K30)&lt;=9,"No Palsu",LEN(K30)&lt;=12,"No Asli",LEN(K30)&gt;12,"No Palsu")</f>
        <v>No Asli</v>
      </c>
    </row>
    <row r="31" spans="1:12" x14ac:dyDescent="0.35">
      <c r="A31">
        <v>2446706</v>
      </c>
      <c r="B31" t="s">
        <v>96</v>
      </c>
      <c r="C31">
        <v>55</v>
      </c>
      <c r="D31" t="s">
        <v>12</v>
      </c>
      <c r="E31" t="s">
        <v>63</v>
      </c>
      <c r="F31" t="s">
        <v>97</v>
      </c>
      <c r="G31" t="s">
        <v>40</v>
      </c>
      <c r="H31" t="s">
        <v>65</v>
      </c>
      <c r="I31" s="1">
        <v>6222134</v>
      </c>
      <c r="J31" s="2">
        <v>45809</v>
      </c>
      <c r="K31">
        <v>8221907561</v>
      </c>
      <c r="L31" t="str" cm="1">
        <f t="array" ref="L31">_xlfn.IFS(LEN(K31)&lt;=9,"No Palsu",LEN(K31)&lt;=12,"No Asli",LEN(K31)&gt;12,"No Palsu")</f>
        <v>No Asli</v>
      </c>
    </row>
    <row r="32" spans="1:12" x14ac:dyDescent="0.35">
      <c r="A32">
        <v>2446707</v>
      </c>
      <c r="B32" t="s">
        <v>98</v>
      </c>
      <c r="C32">
        <v>55</v>
      </c>
      <c r="D32" t="s">
        <v>12</v>
      </c>
      <c r="E32" t="s">
        <v>77</v>
      </c>
      <c r="F32" t="s">
        <v>99</v>
      </c>
      <c r="G32" t="s">
        <v>40</v>
      </c>
      <c r="H32" t="s">
        <v>79</v>
      </c>
      <c r="I32" s="1">
        <v>2972633</v>
      </c>
      <c r="J32" s="2">
        <v>45839</v>
      </c>
      <c r="K32">
        <v>81134567888</v>
      </c>
      <c r="L32" t="str" cm="1">
        <f t="array" ref="L32">_xlfn.IFS(LEN(K32)&lt;=9,"No Palsu",LEN(K32)&lt;=12,"No Asli",LEN(K32)&gt;12,"No Palsu")</f>
        <v>No Asli</v>
      </c>
    </row>
    <row r="33" spans="1:12" x14ac:dyDescent="0.35">
      <c r="A33">
        <v>2488189</v>
      </c>
      <c r="B33" t="s">
        <v>100</v>
      </c>
      <c r="C33">
        <v>40</v>
      </c>
      <c r="D33" t="s">
        <v>12</v>
      </c>
      <c r="E33" t="s">
        <v>59</v>
      </c>
      <c r="F33" t="s">
        <v>101</v>
      </c>
      <c r="G33" t="s">
        <v>25</v>
      </c>
      <c r="H33" t="s">
        <v>61</v>
      </c>
      <c r="I33" s="1">
        <v>1469594</v>
      </c>
      <c r="J33" s="2">
        <v>45870</v>
      </c>
      <c r="K33">
        <v>8083421567892</v>
      </c>
      <c r="L33" t="str" cm="1">
        <f t="array" ref="L33">_xlfn.IFS(LEN(K33)&lt;=9,"No Palsu",LEN(K33)&lt;=12,"No Asli",LEN(K33)&gt;12,"No Palsu")</f>
        <v>No Palsu</v>
      </c>
    </row>
    <row r="34" spans="1:12" x14ac:dyDescent="0.35">
      <c r="A34">
        <v>2654440</v>
      </c>
      <c r="B34" t="s">
        <v>102</v>
      </c>
      <c r="C34">
        <v>24</v>
      </c>
      <c r="D34" t="s">
        <v>23</v>
      </c>
      <c r="E34" t="s">
        <v>59</v>
      </c>
      <c r="F34" t="s">
        <v>103</v>
      </c>
      <c r="G34" t="s">
        <v>20</v>
      </c>
      <c r="H34" t="s">
        <v>61</v>
      </c>
      <c r="I34" s="1">
        <v>1476715</v>
      </c>
      <c r="J34" s="2">
        <v>45901</v>
      </c>
      <c r="K34">
        <v>81134566</v>
      </c>
      <c r="L34" t="str" cm="1">
        <f t="array" ref="L34">_xlfn.IFS(LEN(K34)&lt;=9,"No Palsu",LEN(K34)&lt;=12,"No Asli",LEN(K34)&gt;12,"No Palsu")</f>
        <v>No Palsu</v>
      </c>
    </row>
    <row r="35" spans="1:12" x14ac:dyDescent="0.35">
      <c r="A35">
        <v>2668940</v>
      </c>
      <c r="B35" t="s">
        <v>104</v>
      </c>
      <c r="C35">
        <v>27</v>
      </c>
      <c r="D35" t="s">
        <v>12</v>
      </c>
      <c r="E35" t="s">
        <v>89</v>
      </c>
      <c r="F35" t="s">
        <v>105</v>
      </c>
      <c r="G35" t="s">
        <v>15</v>
      </c>
      <c r="H35" t="s">
        <v>91</v>
      </c>
      <c r="I35" s="1">
        <v>6531762</v>
      </c>
      <c r="J35" s="2">
        <v>45931</v>
      </c>
      <c r="K35">
        <v>82134527811</v>
      </c>
      <c r="L35" t="str" cm="1">
        <f t="array" ref="L35">_xlfn.IFS(LEN(K35)&lt;=9,"No Palsu",LEN(K35)&lt;=12,"No Asli",LEN(K35)&gt;12,"No Palsu")</f>
        <v>No Asli</v>
      </c>
    </row>
    <row r="36" spans="1:12" x14ac:dyDescent="0.35">
      <c r="A36">
        <v>2798178</v>
      </c>
      <c r="B36" t="s">
        <v>106</v>
      </c>
      <c r="C36">
        <v>21</v>
      </c>
      <c r="D36" t="s">
        <v>23</v>
      </c>
      <c r="E36" t="s">
        <v>31</v>
      </c>
      <c r="F36" t="s">
        <v>107</v>
      </c>
      <c r="G36" t="s">
        <v>20</v>
      </c>
      <c r="H36" t="s">
        <v>33</v>
      </c>
      <c r="I36" s="1">
        <v>2079525</v>
      </c>
      <c r="J36" s="2">
        <v>45962</v>
      </c>
      <c r="K36">
        <v>811322674</v>
      </c>
      <c r="L36" t="str" cm="1">
        <f t="array" ref="L36">_xlfn.IFS(LEN(K36)&lt;=9,"No Palsu",LEN(K36)&lt;=12,"No Asli",LEN(K36)&gt;12,"No Palsu")</f>
        <v>No Palsu</v>
      </c>
    </row>
    <row r="37" spans="1:12" x14ac:dyDescent="0.35">
      <c r="A37">
        <v>2805431</v>
      </c>
      <c r="B37" t="s">
        <v>108</v>
      </c>
      <c r="C37">
        <v>29</v>
      </c>
      <c r="D37" t="s">
        <v>23</v>
      </c>
      <c r="E37" t="s">
        <v>31</v>
      </c>
      <c r="F37" t="s">
        <v>109</v>
      </c>
      <c r="G37" t="s">
        <v>15</v>
      </c>
      <c r="H37" t="s">
        <v>33</v>
      </c>
      <c r="I37" s="1">
        <v>9910655</v>
      </c>
      <c r="J37" s="2">
        <v>45992</v>
      </c>
      <c r="K37">
        <v>8582334567896</v>
      </c>
      <c r="L37" t="str" cm="1">
        <f t="array" ref="L37">_xlfn.IFS(LEN(K37)&lt;=9,"No Palsu",LEN(K37)&lt;=12,"No Asli",LEN(K37)&gt;12,"No Palsu")</f>
        <v>No Palsu</v>
      </c>
    </row>
    <row r="38" spans="1:12" x14ac:dyDescent="0.35">
      <c r="A38">
        <v>2805431</v>
      </c>
      <c r="B38" t="s">
        <v>108</v>
      </c>
      <c r="C38">
        <v>29</v>
      </c>
      <c r="D38" t="s">
        <v>23</v>
      </c>
      <c r="E38" t="s">
        <v>31</v>
      </c>
      <c r="F38" t="s">
        <v>109</v>
      </c>
      <c r="G38" t="s">
        <v>15</v>
      </c>
      <c r="H38" t="s">
        <v>33</v>
      </c>
      <c r="I38" s="1">
        <v>9910655</v>
      </c>
      <c r="J38" s="2">
        <v>45658</v>
      </c>
      <c r="K38">
        <v>8213456789</v>
      </c>
      <c r="L38" t="str" cm="1">
        <f t="array" ref="L38">_xlfn.IFS(LEN(K38)&lt;=9,"No Palsu",LEN(K38)&lt;=12,"No Asli",LEN(K38)&gt;12,"No Palsu")</f>
        <v>No Asli</v>
      </c>
    </row>
    <row r="39" spans="1:12" x14ac:dyDescent="0.35">
      <c r="A39">
        <v>2867802</v>
      </c>
      <c r="B39" t="s">
        <v>110</v>
      </c>
      <c r="C39">
        <v>27</v>
      </c>
      <c r="D39" t="s">
        <v>12</v>
      </c>
      <c r="E39" t="s">
        <v>77</v>
      </c>
      <c r="F39" t="s">
        <v>111</v>
      </c>
      <c r="G39" t="s">
        <v>15</v>
      </c>
      <c r="H39" t="s">
        <v>79</v>
      </c>
      <c r="I39" s="1">
        <v>7375812</v>
      </c>
      <c r="J39" s="2">
        <v>45689</v>
      </c>
      <c r="K39">
        <v>8221907561</v>
      </c>
      <c r="L39" t="str" cm="1">
        <f t="array" ref="L39">_xlfn.IFS(LEN(K39)&lt;=9,"No Palsu",LEN(K39)&lt;=12,"No Asli",LEN(K39)&gt;12,"No Palsu")</f>
        <v>No Asli</v>
      </c>
    </row>
    <row r="40" spans="1:12" x14ac:dyDescent="0.35">
      <c r="A40">
        <v>2876035</v>
      </c>
      <c r="B40" t="s">
        <v>112</v>
      </c>
      <c r="C40">
        <v>48</v>
      </c>
      <c r="D40" t="s">
        <v>23</v>
      </c>
      <c r="E40" t="s">
        <v>89</v>
      </c>
      <c r="F40" t="s">
        <v>113</v>
      </c>
      <c r="G40" t="s">
        <v>25</v>
      </c>
      <c r="H40" t="s">
        <v>91</v>
      </c>
      <c r="I40" s="1">
        <v>8136249</v>
      </c>
      <c r="J40" s="2">
        <v>45717</v>
      </c>
      <c r="K40">
        <v>81134567888</v>
      </c>
      <c r="L40" t="str" cm="1">
        <f t="array" ref="L40">_xlfn.IFS(LEN(K40)&lt;=9,"No Palsu",LEN(K40)&lt;=12,"No Asli",LEN(K40)&gt;12,"No Palsu")</f>
        <v>No Asli</v>
      </c>
    </row>
    <row r="41" spans="1:12" x14ac:dyDescent="0.35">
      <c r="A41">
        <v>2918715</v>
      </c>
      <c r="B41" t="s">
        <v>114</v>
      </c>
      <c r="C41">
        <v>47</v>
      </c>
      <c r="D41" t="s">
        <v>23</v>
      </c>
      <c r="E41" t="s">
        <v>18</v>
      </c>
      <c r="F41" t="s">
        <v>115</v>
      </c>
      <c r="G41" t="s">
        <v>25</v>
      </c>
      <c r="H41" t="s">
        <v>21</v>
      </c>
      <c r="I41" s="1">
        <v>7095659</v>
      </c>
      <c r="J41" s="2">
        <v>45748</v>
      </c>
      <c r="K41">
        <v>8083421567892</v>
      </c>
      <c r="L41" t="str" cm="1">
        <f t="array" ref="L41">_xlfn.IFS(LEN(K41)&lt;=9,"No Palsu",LEN(K41)&lt;=12,"No Asli",LEN(K41)&gt;12,"No Palsu")</f>
        <v>No Palsu</v>
      </c>
    </row>
    <row r="42" spans="1:12" x14ac:dyDescent="0.35">
      <c r="A42">
        <v>2918715</v>
      </c>
      <c r="B42" t="s">
        <v>114</v>
      </c>
      <c r="C42">
        <v>47</v>
      </c>
      <c r="D42" t="s">
        <v>23</v>
      </c>
      <c r="E42" t="s">
        <v>31</v>
      </c>
      <c r="F42" t="s">
        <v>116</v>
      </c>
      <c r="G42" t="s">
        <v>25</v>
      </c>
      <c r="H42" t="s">
        <v>33</v>
      </c>
      <c r="I42" s="1">
        <v>3819736</v>
      </c>
      <c r="J42" s="2">
        <v>45778</v>
      </c>
      <c r="K42">
        <v>81134566</v>
      </c>
      <c r="L42" t="str" cm="1">
        <f t="array" ref="L42">_xlfn.IFS(LEN(K42)&lt;=9,"No Palsu",LEN(K42)&lt;=12,"No Asli",LEN(K42)&gt;12,"No Palsu")</f>
        <v>No Palsu</v>
      </c>
    </row>
    <row r="43" spans="1:12" x14ac:dyDescent="0.35">
      <c r="A43">
        <v>2918713</v>
      </c>
      <c r="B43" t="s">
        <v>117</v>
      </c>
      <c r="C43">
        <v>47</v>
      </c>
      <c r="D43" t="s">
        <v>23</v>
      </c>
      <c r="E43" t="s">
        <v>77</v>
      </c>
      <c r="F43" t="s">
        <v>118</v>
      </c>
      <c r="G43" t="s">
        <v>25</v>
      </c>
      <c r="H43" t="s">
        <v>79</v>
      </c>
      <c r="I43" s="1">
        <v>5187595</v>
      </c>
      <c r="J43" s="2">
        <v>45809</v>
      </c>
      <c r="K43">
        <v>82134527811</v>
      </c>
      <c r="L43" t="str" cm="1">
        <f t="array" ref="L43">_xlfn.IFS(LEN(K43)&lt;=9,"No Palsu",LEN(K43)&lt;=12,"No Asli",LEN(K43)&gt;12,"No Palsu")</f>
        <v>No Asli</v>
      </c>
    </row>
    <row r="44" spans="1:12" x14ac:dyDescent="0.35">
      <c r="A44">
        <v>2985075</v>
      </c>
      <c r="B44" t="s">
        <v>119</v>
      </c>
      <c r="C44">
        <v>64</v>
      </c>
      <c r="D44" t="s">
        <v>12</v>
      </c>
      <c r="E44" t="s">
        <v>31</v>
      </c>
      <c r="F44" t="s">
        <v>120</v>
      </c>
      <c r="G44" t="s">
        <v>40</v>
      </c>
      <c r="H44" t="s">
        <v>33</v>
      </c>
      <c r="I44" s="1">
        <v>3910841</v>
      </c>
      <c r="J44" s="2">
        <v>45839</v>
      </c>
      <c r="K44">
        <v>811322674</v>
      </c>
      <c r="L44" t="str" cm="1">
        <f t="array" ref="L44">_xlfn.IFS(LEN(K44)&lt;=9,"No Palsu",LEN(K44)&lt;=12,"No Asli",LEN(K44)&gt;12,"No Palsu")</f>
        <v>No Palsu</v>
      </c>
    </row>
    <row r="45" spans="1:12" x14ac:dyDescent="0.35">
      <c r="A45">
        <v>2985075</v>
      </c>
      <c r="B45" t="s">
        <v>119</v>
      </c>
      <c r="C45">
        <v>64</v>
      </c>
      <c r="D45" t="s">
        <v>12</v>
      </c>
      <c r="E45" t="s">
        <v>31</v>
      </c>
      <c r="F45" t="s">
        <v>120</v>
      </c>
      <c r="G45" t="s">
        <v>40</v>
      </c>
      <c r="H45" t="s">
        <v>33</v>
      </c>
      <c r="I45" s="1">
        <v>3910841</v>
      </c>
      <c r="J45" s="2">
        <v>45870</v>
      </c>
      <c r="K45">
        <v>8582334567896</v>
      </c>
      <c r="L45" t="str" cm="1">
        <f t="array" ref="L45">_xlfn.IFS(LEN(K45)&lt;=9,"No Palsu",LEN(K45)&lt;=12,"No Asli",LEN(K45)&gt;12,"No Palsu")</f>
        <v>No Palsu</v>
      </c>
    </row>
    <row r="46" spans="1:12" x14ac:dyDescent="0.35">
      <c r="A46">
        <v>2985075</v>
      </c>
      <c r="B46" t="s">
        <v>119</v>
      </c>
      <c r="C46">
        <v>64</v>
      </c>
      <c r="D46" t="s">
        <v>12</v>
      </c>
      <c r="E46" t="s">
        <v>31</v>
      </c>
      <c r="F46" t="s">
        <v>120</v>
      </c>
      <c r="G46" t="s">
        <v>40</v>
      </c>
      <c r="H46" t="s">
        <v>33</v>
      </c>
      <c r="I46" s="1">
        <v>3910841</v>
      </c>
      <c r="J46" s="2">
        <v>45901</v>
      </c>
      <c r="K46">
        <v>8213456789</v>
      </c>
      <c r="L46" t="str" cm="1">
        <f t="array" ref="L46">_xlfn.IFS(LEN(K46)&lt;=9,"No Palsu",LEN(K46)&lt;=12,"No Asli",LEN(K46)&gt;12,"No Palsu")</f>
        <v>No Asli</v>
      </c>
    </row>
    <row r="47" spans="1:12" x14ac:dyDescent="0.35">
      <c r="A47">
        <v>2991283</v>
      </c>
      <c r="B47" t="s">
        <v>121</v>
      </c>
      <c r="C47">
        <v>45</v>
      </c>
      <c r="D47" t="s">
        <v>23</v>
      </c>
      <c r="E47" t="s">
        <v>55</v>
      </c>
      <c r="F47" t="s">
        <v>122</v>
      </c>
      <c r="G47" t="s">
        <v>25</v>
      </c>
      <c r="H47" t="s">
        <v>57</v>
      </c>
      <c r="I47" s="1">
        <v>8126631</v>
      </c>
      <c r="J47" s="2">
        <v>45931</v>
      </c>
      <c r="K47">
        <v>8221907561</v>
      </c>
      <c r="L47" t="str" cm="1">
        <f t="array" ref="L47">_xlfn.IFS(LEN(K47)&lt;=9,"No Palsu",LEN(K47)&lt;=12,"No Asli",LEN(K47)&gt;12,"No Palsu")</f>
        <v>No Asli</v>
      </c>
    </row>
    <row r="48" spans="1:12" x14ac:dyDescent="0.35">
      <c r="A48">
        <v>2991283</v>
      </c>
      <c r="B48" t="s">
        <v>121</v>
      </c>
      <c r="C48">
        <v>45</v>
      </c>
      <c r="D48" t="s">
        <v>23</v>
      </c>
      <c r="E48" t="s">
        <v>55</v>
      </c>
      <c r="F48" t="s">
        <v>122</v>
      </c>
      <c r="G48" t="s">
        <v>25</v>
      </c>
      <c r="H48" t="s">
        <v>57</v>
      </c>
      <c r="I48" s="1">
        <v>8126631</v>
      </c>
      <c r="J48" s="2">
        <v>45962</v>
      </c>
      <c r="K48">
        <v>81134567888</v>
      </c>
      <c r="L48" t="str" cm="1">
        <f t="array" ref="L48">_xlfn.IFS(LEN(K48)&lt;=9,"No Palsu",LEN(K48)&lt;=12,"No Asli",LEN(K48)&gt;12,"No Palsu")</f>
        <v>No Asli</v>
      </c>
    </row>
    <row r="49" spans="1:12" x14ac:dyDescent="0.35">
      <c r="A49">
        <v>3001920</v>
      </c>
      <c r="B49" t="s">
        <v>123</v>
      </c>
      <c r="C49">
        <v>16</v>
      </c>
      <c r="D49" t="s">
        <v>12</v>
      </c>
      <c r="E49" t="s">
        <v>77</v>
      </c>
      <c r="F49" t="s">
        <v>124</v>
      </c>
      <c r="G49" t="s">
        <v>46</v>
      </c>
      <c r="H49" t="s">
        <v>79</v>
      </c>
      <c r="I49" s="1">
        <v>6206704</v>
      </c>
      <c r="J49" s="2">
        <v>45992</v>
      </c>
      <c r="K49">
        <v>8083421567892</v>
      </c>
      <c r="L49" t="str" cm="1">
        <f t="array" ref="L49">_xlfn.IFS(LEN(K49)&lt;=9,"No Palsu",LEN(K49)&lt;=12,"No Asli",LEN(K49)&gt;12,"No Palsu")</f>
        <v>No Palsu</v>
      </c>
    </row>
    <row r="50" spans="1:12" x14ac:dyDescent="0.35">
      <c r="A50">
        <v>3128151</v>
      </c>
      <c r="B50" t="s">
        <v>125</v>
      </c>
      <c r="C50">
        <v>33</v>
      </c>
      <c r="D50" t="s">
        <v>12</v>
      </c>
      <c r="E50" t="s">
        <v>44</v>
      </c>
      <c r="F50" t="s">
        <v>126</v>
      </c>
      <c r="G50" t="s">
        <v>15</v>
      </c>
      <c r="H50" t="s">
        <v>47</v>
      </c>
      <c r="I50" s="1">
        <v>7621359</v>
      </c>
      <c r="J50" s="2">
        <v>45658</v>
      </c>
      <c r="K50">
        <v>81134566</v>
      </c>
      <c r="L50" t="str" cm="1">
        <f t="array" ref="L50">_xlfn.IFS(LEN(K50)&lt;=9,"No Palsu",LEN(K50)&lt;=12,"No Asli",LEN(K50)&gt;12,"No Palsu")</f>
        <v>No Palsu</v>
      </c>
    </row>
    <row r="51" spans="1:12" x14ac:dyDescent="0.35">
      <c r="A51">
        <v>3189451</v>
      </c>
      <c r="B51" t="s">
        <v>127</v>
      </c>
      <c r="C51">
        <v>25</v>
      </c>
      <c r="D51" t="s">
        <v>12</v>
      </c>
      <c r="E51" t="s">
        <v>89</v>
      </c>
      <c r="F51" t="s">
        <v>128</v>
      </c>
      <c r="G51" t="s">
        <v>20</v>
      </c>
      <c r="H51" t="s">
        <v>91</v>
      </c>
      <c r="I51" s="1">
        <v>4270686</v>
      </c>
      <c r="J51" s="2">
        <v>45689</v>
      </c>
      <c r="K51">
        <v>82134527811</v>
      </c>
      <c r="L51" t="str" cm="1">
        <f t="array" ref="L51">_xlfn.IFS(LEN(K51)&lt;=9,"No Palsu",LEN(K51)&lt;=12,"No Asli",LEN(K51)&gt;12,"No Palsu")</f>
        <v>No Asli</v>
      </c>
    </row>
    <row r="52" spans="1:12" x14ac:dyDescent="0.35">
      <c r="A52">
        <v>3209589</v>
      </c>
      <c r="B52" t="s">
        <v>129</v>
      </c>
      <c r="C52">
        <v>28</v>
      </c>
      <c r="D52" t="s">
        <v>23</v>
      </c>
      <c r="E52" t="s">
        <v>63</v>
      </c>
      <c r="F52" t="s">
        <v>130</v>
      </c>
      <c r="G52" t="s">
        <v>15</v>
      </c>
      <c r="H52" t="s">
        <v>65</v>
      </c>
      <c r="I52" s="1">
        <v>9540299</v>
      </c>
      <c r="J52" s="2">
        <v>45717</v>
      </c>
      <c r="K52">
        <v>811322674</v>
      </c>
      <c r="L52" t="str" cm="1">
        <f t="array" ref="L52">_xlfn.IFS(LEN(K52)&lt;=9,"No Palsu",LEN(K52)&lt;=12,"No Asli",LEN(K52)&gt;12,"No Palsu")</f>
        <v>No Palsu</v>
      </c>
    </row>
    <row r="53" spans="1:12" x14ac:dyDescent="0.35">
      <c r="A53">
        <v>3240019</v>
      </c>
      <c r="B53" t="s">
        <v>131</v>
      </c>
      <c r="C53">
        <v>47</v>
      </c>
      <c r="D53" t="s">
        <v>12</v>
      </c>
      <c r="E53" t="s">
        <v>55</v>
      </c>
      <c r="F53" t="s">
        <v>132</v>
      </c>
      <c r="G53" t="s">
        <v>25</v>
      </c>
      <c r="H53" t="s">
        <v>57</v>
      </c>
      <c r="I53" s="1">
        <v>3079849</v>
      </c>
      <c r="J53" s="2">
        <v>45748</v>
      </c>
      <c r="K53">
        <v>8582334567896</v>
      </c>
      <c r="L53" t="str" cm="1">
        <f t="array" ref="L53">_xlfn.IFS(LEN(K53)&lt;=9,"No Palsu",LEN(K53)&lt;=12,"No Asli",LEN(K53)&gt;12,"No Palsu")</f>
        <v>No Palsu</v>
      </c>
    </row>
    <row r="54" spans="1:12" x14ac:dyDescent="0.35">
      <c r="A54">
        <v>3246664</v>
      </c>
      <c r="B54" t="s">
        <v>133</v>
      </c>
      <c r="C54">
        <v>49</v>
      </c>
      <c r="D54" t="s">
        <v>12</v>
      </c>
      <c r="E54" t="s">
        <v>27</v>
      </c>
      <c r="F54" t="s">
        <v>134</v>
      </c>
      <c r="G54" t="s">
        <v>25</v>
      </c>
      <c r="H54" t="s">
        <v>29</v>
      </c>
      <c r="I54" s="1">
        <v>1646251</v>
      </c>
      <c r="J54" s="2">
        <v>45778</v>
      </c>
      <c r="K54">
        <v>8213456789</v>
      </c>
      <c r="L54" t="str" cm="1">
        <f t="array" ref="L54">_xlfn.IFS(LEN(K54)&lt;=9,"No Palsu",LEN(K54)&lt;=12,"No Asli",LEN(K54)&gt;12,"No Palsu")</f>
        <v>No Asli</v>
      </c>
    </row>
    <row r="55" spans="1:12" x14ac:dyDescent="0.35">
      <c r="A55">
        <v>3323507</v>
      </c>
      <c r="B55" t="s">
        <v>135</v>
      </c>
      <c r="C55">
        <v>35</v>
      </c>
      <c r="D55" t="s">
        <v>23</v>
      </c>
      <c r="E55" t="s">
        <v>55</v>
      </c>
      <c r="F55" t="s">
        <v>136</v>
      </c>
      <c r="G55" t="s">
        <v>15</v>
      </c>
      <c r="H55" t="s">
        <v>57</v>
      </c>
      <c r="I55" s="1">
        <v>5032475</v>
      </c>
      <c r="J55" s="2">
        <v>45809</v>
      </c>
      <c r="K55">
        <v>8221907561</v>
      </c>
      <c r="L55" t="str" cm="1">
        <f t="array" ref="L55">_xlfn.IFS(LEN(K55)&lt;=9,"No Palsu",LEN(K55)&lt;=12,"No Asli",LEN(K55)&gt;12,"No Palsu")</f>
        <v>No Asli</v>
      </c>
    </row>
    <row r="56" spans="1:12" x14ac:dyDescent="0.35">
      <c r="A56">
        <v>3365113</v>
      </c>
      <c r="B56" t="s">
        <v>137</v>
      </c>
      <c r="C56">
        <v>31</v>
      </c>
      <c r="D56" t="s">
        <v>12</v>
      </c>
      <c r="E56" t="s">
        <v>44</v>
      </c>
      <c r="F56" t="s">
        <v>138</v>
      </c>
      <c r="G56" t="s">
        <v>15</v>
      </c>
      <c r="H56" t="s">
        <v>47</v>
      </c>
      <c r="I56" s="1">
        <v>7399294</v>
      </c>
      <c r="J56" s="2">
        <v>45839</v>
      </c>
      <c r="K56">
        <v>81134567888</v>
      </c>
      <c r="L56" t="str" cm="1">
        <f t="array" ref="L56">_xlfn.IFS(LEN(K56)&lt;=9,"No Palsu",LEN(K56)&lt;=12,"No Asli",LEN(K56)&gt;12,"No Palsu")</f>
        <v>No Asli</v>
      </c>
    </row>
    <row r="57" spans="1:12" x14ac:dyDescent="0.35">
      <c r="A57">
        <v>3365113</v>
      </c>
      <c r="B57" t="s">
        <v>137</v>
      </c>
      <c r="C57">
        <v>31</v>
      </c>
      <c r="D57" t="s">
        <v>12</v>
      </c>
      <c r="E57" t="s">
        <v>139</v>
      </c>
      <c r="F57" t="s">
        <v>140</v>
      </c>
      <c r="G57" t="s">
        <v>15</v>
      </c>
      <c r="H57" t="s">
        <v>141</v>
      </c>
      <c r="I57" s="1">
        <v>7381699</v>
      </c>
      <c r="J57" s="2">
        <v>45870</v>
      </c>
      <c r="K57">
        <v>8083421567892</v>
      </c>
      <c r="L57" t="str" cm="1">
        <f t="array" ref="L57">_xlfn.IFS(LEN(K57)&lt;=9,"No Palsu",LEN(K57)&lt;=12,"No Asli",LEN(K57)&gt;12,"No Palsu")</f>
        <v>No Palsu</v>
      </c>
    </row>
    <row r="58" spans="1:12" x14ac:dyDescent="0.35">
      <c r="A58">
        <v>3477250</v>
      </c>
      <c r="B58" t="s">
        <v>142</v>
      </c>
      <c r="C58">
        <v>45</v>
      </c>
      <c r="D58" t="s">
        <v>12</v>
      </c>
      <c r="E58" t="s">
        <v>83</v>
      </c>
      <c r="F58" t="s">
        <v>143</v>
      </c>
      <c r="G58" t="s">
        <v>25</v>
      </c>
      <c r="H58" t="s">
        <v>85</v>
      </c>
      <c r="I58" s="1">
        <v>3331380</v>
      </c>
      <c r="J58" s="2">
        <v>45901</v>
      </c>
      <c r="K58">
        <v>81134566</v>
      </c>
      <c r="L58" t="str" cm="1">
        <f t="array" ref="L58">_xlfn.IFS(LEN(K58)&lt;=9,"No Palsu",LEN(K58)&lt;=12,"No Asli",LEN(K58)&gt;12,"No Palsu")</f>
        <v>No Palsu</v>
      </c>
    </row>
    <row r="59" spans="1:12" x14ac:dyDescent="0.35">
      <c r="A59">
        <v>3477257</v>
      </c>
      <c r="B59" t="s">
        <v>144</v>
      </c>
      <c r="C59">
        <v>45</v>
      </c>
      <c r="D59" t="s">
        <v>12</v>
      </c>
      <c r="E59" t="s">
        <v>18</v>
      </c>
      <c r="F59" t="s">
        <v>145</v>
      </c>
      <c r="G59" t="s">
        <v>25</v>
      </c>
      <c r="H59" t="s">
        <v>21</v>
      </c>
      <c r="I59" s="1">
        <v>8329072</v>
      </c>
      <c r="J59" s="2">
        <v>45931</v>
      </c>
      <c r="K59">
        <v>82134527811</v>
      </c>
      <c r="L59" t="str" cm="1">
        <f t="array" ref="L59">_xlfn.IFS(LEN(K59)&lt;=9,"No Palsu",LEN(K59)&lt;=12,"No Asli",LEN(K59)&gt;12,"No Palsu")</f>
        <v>No Asli</v>
      </c>
    </row>
    <row r="60" spans="1:12" x14ac:dyDescent="0.35">
      <c r="A60">
        <v>3584130</v>
      </c>
      <c r="B60" t="s">
        <v>146</v>
      </c>
      <c r="C60">
        <v>55</v>
      </c>
      <c r="D60" t="s">
        <v>23</v>
      </c>
      <c r="E60" t="s">
        <v>63</v>
      </c>
      <c r="F60" t="s">
        <v>147</v>
      </c>
      <c r="G60" t="s">
        <v>40</v>
      </c>
      <c r="H60" t="s">
        <v>65</v>
      </c>
      <c r="I60" s="1">
        <v>9450392</v>
      </c>
      <c r="J60" s="2">
        <v>45962</v>
      </c>
      <c r="K60">
        <v>811322674</v>
      </c>
      <c r="L60" t="str" cm="1">
        <f t="array" ref="L60">_xlfn.IFS(LEN(K60)&lt;=9,"No Palsu",LEN(K60)&lt;=12,"No Asli",LEN(K60)&gt;12,"No Palsu")</f>
        <v>No Palsu</v>
      </c>
    </row>
    <row r="61" spans="1:12" x14ac:dyDescent="0.35">
      <c r="A61">
        <v>3617129</v>
      </c>
      <c r="B61" t="s">
        <v>148</v>
      </c>
      <c r="C61">
        <v>25</v>
      </c>
      <c r="D61" t="s">
        <v>12</v>
      </c>
      <c r="E61" t="s">
        <v>139</v>
      </c>
      <c r="F61" t="s">
        <v>149</v>
      </c>
      <c r="G61" t="s">
        <v>20</v>
      </c>
      <c r="H61" t="s">
        <v>141</v>
      </c>
      <c r="I61" s="1">
        <v>8799318</v>
      </c>
      <c r="J61" s="2">
        <v>45992</v>
      </c>
      <c r="K61">
        <v>8582334567896</v>
      </c>
      <c r="L61" t="str" cm="1">
        <f t="array" ref="L61">_xlfn.IFS(LEN(K61)&lt;=9,"No Palsu",LEN(K61)&lt;=12,"No Asli",LEN(K61)&gt;12,"No Palsu")</f>
        <v>No Palsu</v>
      </c>
    </row>
    <row r="62" spans="1:12" x14ac:dyDescent="0.35">
      <c r="A62">
        <v>3654687</v>
      </c>
      <c r="B62" t="s">
        <v>150</v>
      </c>
      <c r="C62">
        <v>47</v>
      </c>
      <c r="D62" t="s">
        <v>23</v>
      </c>
      <c r="E62" t="s">
        <v>139</v>
      </c>
      <c r="F62" t="s">
        <v>151</v>
      </c>
      <c r="G62" t="s">
        <v>25</v>
      </c>
      <c r="H62" t="s">
        <v>141</v>
      </c>
      <c r="I62" s="1">
        <v>3509077</v>
      </c>
      <c r="J62" s="2">
        <v>45658</v>
      </c>
      <c r="K62">
        <v>8213456789</v>
      </c>
      <c r="L62" t="str" cm="1">
        <f t="array" ref="L62">_xlfn.IFS(LEN(K62)&lt;=9,"No Palsu",LEN(K62)&lt;=12,"No Asli",LEN(K62)&gt;12,"No Palsu")</f>
        <v>No Asli</v>
      </c>
    </row>
    <row r="63" spans="1:12" x14ac:dyDescent="0.35">
      <c r="A63">
        <v>3684340</v>
      </c>
      <c r="B63" t="s">
        <v>152</v>
      </c>
      <c r="C63">
        <v>29</v>
      </c>
      <c r="D63" t="s">
        <v>23</v>
      </c>
      <c r="E63" t="s">
        <v>59</v>
      </c>
      <c r="F63" t="s">
        <v>153</v>
      </c>
      <c r="G63" t="s">
        <v>15</v>
      </c>
      <c r="H63" t="s">
        <v>61</v>
      </c>
      <c r="I63" s="1">
        <v>5438100</v>
      </c>
      <c r="J63" s="2">
        <v>45689</v>
      </c>
      <c r="K63">
        <v>8221907561</v>
      </c>
      <c r="L63" t="str" cm="1">
        <f t="array" ref="L63">_xlfn.IFS(LEN(K63)&lt;=9,"No Palsu",LEN(K63)&lt;=12,"No Asli",LEN(K63)&gt;12,"No Palsu")</f>
        <v>No Asli</v>
      </c>
    </row>
    <row r="64" spans="1:12" x14ac:dyDescent="0.35">
      <c r="A64">
        <v>3684345</v>
      </c>
      <c r="B64" t="s">
        <v>154</v>
      </c>
      <c r="C64">
        <v>29</v>
      </c>
      <c r="D64" t="s">
        <v>23</v>
      </c>
      <c r="E64" t="s">
        <v>13</v>
      </c>
      <c r="F64" t="s">
        <v>155</v>
      </c>
      <c r="G64" t="s">
        <v>15</v>
      </c>
      <c r="H64" t="s">
        <v>16</v>
      </c>
      <c r="I64" s="1">
        <v>9021142</v>
      </c>
      <c r="J64" s="2">
        <v>45717</v>
      </c>
      <c r="K64">
        <v>81134567888</v>
      </c>
      <c r="L64" t="str" cm="1">
        <f t="array" ref="L64">_xlfn.IFS(LEN(K64)&lt;=9,"No Palsu",LEN(K64)&lt;=12,"No Asli",LEN(K64)&gt;12,"No Palsu")</f>
        <v>No Asli</v>
      </c>
    </row>
    <row r="65" spans="1:12" x14ac:dyDescent="0.35">
      <c r="A65">
        <v>3796518</v>
      </c>
      <c r="B65" t="s">
        <v>156</v>
      </c>
      <c r="C65">
        <v>58</v>
      </c>
      <c r="D65" t="s">
        <v>23</v>
      </c>
      <c r="E65" t="s">
        <v>139</v>
      </c>
      <c r="F65" t="s">
        <v>157</v>
      </c>
      <c r="G65" t="s">
        <v>40</v>
      </c>
      <c r="H65" t="s">
        <v>141</v>
      </c>
      <c r="I65" s="1">
        <v>5123665</v>
      </c>
      <c r="J65" s="2">
        <v>45748</v>
      </c>
      <c r="K65">
        <v>8083421567892</v>
      </c>
      <c r="L65" t="str" cm="1">
        <f t="array" ref="L65">_xlfn.IFS(LEN(K65)&lt;=9,"No Palsu",LEN(K65)&lt;=12,"No Asli",LEN(K65)&gt;12,"No Palsu")</f>
        <v>No Palsu</v>
      </c>
    </row>
    <row r="66" spans="1:12" x14ac:dyDescent="0.35">
      <c r="A66">
        <v>3799751</v>
      </c>
      <c r="B66" t="s">
        <v>158</v>
      </c>
      <c r="C66">
        <v>49</v>
      </c>
      <c r="D66" t="s">
        <v>23</v>
      </c>
      <c r="E66" t="s">
        <v>13</v>
      </c>
      <c r="F66" t="s">
        <v>159</v>
      </c>
      <c r="G66" t="s">
        <v>25</v>
      </c>
      <c r="H66" t="s">
        <v>16</v>
      </c>
      <c r="I66" s="1">
        <v>9811806</v>
      </c>
      <c r="J66" s="2">
        <v>45778</v>
      </c>
      <c r="K66">
        <v>81134566</v>
      </c>
      <c r="L66" t="str" cm="1">
        <f t="array" ref="L66">_xlfn.IFS(LEN(K66)&lt;=9,"No Palsu",LEN(K66)&lt;=12,"No Asli",LEN(K66)&gt;12,"No Palsu")</f>
        <v>No Palsu</v>
      </c>
    </row>
    <row r="67" spans="1:12" x14ac:dyDescent="0.35">
      <c r="A67">
        <v>3891330</v>
      </c>
      <c r="B67" t="s">
        <v>160</v>
      </c>
      <c r="C67">
        <v>41</v>
      </c>
      <c r="D67" t="s">
        <v>12</v>
      </c>
      <c r="E67" t="s">
        <v>77</v>
      </c>
      <c r="F67" t="s">
        <v>161</v>
      </c>
      <c r="G67" t="s">
        <v>25</v>
      </c>
      <c r="H67" t="s">
        <v>79</v>
      </c>
      <c r="I67" s="1">
        <v>8250812</v>
      </c>
      <c r="J67" s="2">
        <v>45809</v>
      </c>
      <c r="K67">
        <v>82134527811</v>
      </c>
      <c r="L67" t="str" cm="1">
        <f t="array" ref="L67">_xlfn.IFS(LEN(K67)&lt;=9,"No Palsu",LEN(K67)&lt;=12,"No Asli",LEN(K67)&gt;12,"No Palsu")</f>
        <v>No Asli</v>
      </c>
    </row>
    <row r="68" spans="1:12" x14ac:dyDescent="0.35">
      <c r="A68">
        <v>3987464</v>
      </c>
      <c r="B68" t="s">
        <v>162</v>
      </c>
      <c r="C68">
        <v>24</v>
      </c>
      <c r="D68" t="s">
        <v>23</v>
      </c>
      <c r="E68" t="s">
        <v>89</v>
      </c>
      <c r="F68" t="s">
        <v>163</v>
      </c>
      <c r="G68" t="s">
        <v>20</v>
      </c>
      <c r="H68" t="s">
        <v>91</v>
      </c>
      <c r="I68" s="1">
        <v>1128508</v>
      </c>
      <c r="J68" s="2">
        <v>45839</v>
      </c>
      <c r="K68">
        <v>811322674</v>
      </c>
      <c r="L68" t="str" cm="1">
        <f t="array" ref="L68">_xlfn.IFS(LEN(K68)&lt;=9,"No Palsu",LEN(K68)&lt;=12,"No Asli",LEN(K68)&gt;12,"No Palsu")</f>
        <v>No Palsu</v>
      </c>
    </row>
    <row r="69" spans="1:12" x14ac:dyDescent="0.35">
      <c r="A69">
        <v>3989170</v>
      </c>
      <c r="B69" t="s">
        <v>164</v>
      </c>
      <c r="C69">
        <v>48</v>
      </c>
      <c r="D69" t="s">
        <v>12</v>
      </c>
      <c r="E69" t="s">
        <v>77</v>
      </c>
      <c r="F69" t="s">
        <v>165</v>
      </c>
      <c r="G69" t="s">
        <v>25</v>
      </c>
      <c r="H69" t="s">
        <v>79</v>
      </c>
      <c r="I69" s="1">
        <v>6234793</v>
      </c>
      <c r="J69" s="2">
        <v>45870</v>
      </c>
      <c r="K69">
        <v>8582334567896</v>
      </c>
      <c r="L69" t="str" cm="1">
        <f t="array" ref="L69">_xlfn.IFS(LEN(K69)&lt;=9,"No Palsu",LEN(K69)&lt;=12,"No Asli",LEN(K69)&gt;12,"No Palsu")</f>
        <v>No Palsu</v>
      </c>
    </row>
    <row r="70" spans="1:12" x14ac:dyDescent="0.35">
      <c r="A70">
        <v>4064701</v>
      </c>
      <c r="B70" t="s">
        <v>166</v>
      </c>
      <c r="C70">
        <v>17</v>
      </c>
      <c r="D70" t="s">
        <v>23</v>
      </c>
      <c r="E70" t="s">
        <v>18</v>
      </c>
      <c r="F70" t="s">
        <v>167</v>
      </c>
      <c r="G70" t="s">
        <v>46</v>
      </c>
      <c r="H70" t="s">
        <v>21</v>
      </c>
      <c r="I70" s="1">
        <v>4169894</v>
      </c>
      <c r="J70" s="2">
        <v>45901</v>
      </c>
      <c r="K70">
        <v>8213456789</v>
      </c>
      <c r="L70" t="str" cm="1">
        <f t="array" ref="L70">_xlfn.IFS(LEN(K70)&lt;=9,"No Palsu",LEN(K70)&lt;=12,"No Asli",LEN(K70)&gt;12,"No Palsu")</f>
        <v>No Asli</v>
      </c>
    </row>
    <row r="71" spans="1:12" x14ac:dyDescent="0.35">
      <c r="A71">
        <v>4064701</v>
      </c>
      <c r="B71" t="s">
        <v>168</v>
      </c>
      <c r="C71">
        <v>17</v>
      </c>
      <c r="D71" t="s">
        <v>23</v>
      </c>
      <c r="E71" t="s">
        <v>77</v>
      </c>
      <c r="F71" t="s">
        <v>169</v>
      </c>
      <c r="G71" t="s">
        <v>46</v>
      </c>
      <c r="H71" t="s">
        <v>79</v>
      </c>
      <c r="I71" s="1">
        <v>2873384</v>
      </c>
      <c r="J71" s="2">
        <v>45931</v>
      </c>
      <c r="K71">
        <v>8221907561</v>
      </c>
      <c r="L71" t="str" cm="1">
        <f t="array" ref="L71">_xlfn.IFS(LEN(K71)&lt;=9,"No Palsu",LEN(K71)&lt;=12,"No Asli",LEN(K71)&gt;12,"No Palsu")</f>
        <v>No Asli</v>
      </c>
    </row>
    <row r="72" spans="1:12" x14ac:dyDescent="0.35">
      <c r="A72">
        <v>4135053</v>
      </c>
      <c r="B72" t="s">
        <v>170</v>
      </c>
      <c r="C72">
        <v>32</v>
      </c>
      <c r="D72" t="s">
        <v>23</v>
      </c>
      <c r="E72" t="s">
        <v>77</v>
      </c>
      <c r="F72" t="s">
        <v>171</v>
      </c>
      <c r="G72" t="s">
        <v>15</v>
      </c>
      <c r="H72" t="s">
        <v>79</v>
      </c>
      <c r="I72" s="1">
        <v>6715354</v>
      </c>
      <c r="J72" s="2">
        <v>45962</v>
      </c>
      <c r="K72">
        <v>81134567888</v>
      </c>
      <c r="L72" t="str" cm="1">
        <f t="array" ref="L72">_xlfn.IFS(LEN(K72)&lt;=9,"No Palsu",LEN(K72)&lt;=12,"No Asli",LEN(K72)&gt;12,"No Palsu")</f>
        <v>No Asli</v>
      </c>
    </row>
    <row r="73" spans="1:12" x14ac:dyDescent="0.35">
      <c r="A73">
        <v>4135053</v>
      </c>
      <c r="B73" t="s">
        <v>170</v>
      </c>
      <c r="C73">
        <v>32</v>
      </c>
      <c r="D73" t="s">
        <v>23</v>
      </c>
      <c r="E73" t="s">
        <v>59</v>
      </c>
      <c r="F73" t="s">
        <v>172</v>
      </c>
      <c r="G73" t="s">
        <v>15</v>
      </c>
      <c r="H73" t="s">
        <v>61</v>
      </c>
      <c r="I73" s="1">
        <v>7565111</v>
      </c>
      <c r="J73" s="2">
        <v>45992</v>
      </c>
      <c r="K73">
        <v>8083421567892</v>
      </c>
      <c r="L73" t="str" cm="1">
        <f t="array" ref="L73">_xlfn.IFS(LEN(K73)&lt;=9,"No Palsu",LEN(K73)&lt;=12,"No Asli",LEN(K73)&gt;12,"No Palsu")</f>
        <v>No Palsu</v>
      </c>
    </row>
    <row r="74" spans="1:12" x14ac:dyDescent="0.35">
      <c r="A74">
        <v>4187863</v>
      </c>
      <c r="B74" t="s">
        <v>173</v>
      </c>
      <c r="C74">
        <v>32</v>
      </c>
      <c r="D74" t="s">
        <v>12</v>
      </c>
      <c r="E74" t="s">
        <v>35</v>
      </c>
      <c r="F74" t="s">
        <v>174</v>
      </c>
      <c r="G74" t="s">
        <v>15</v>
      </c>
      <c r="H74" t="s">
        <v>37</v>
      </c>
      <c r="I74" s="1">
        <v>8571006</v>
      </c>
      <c r="J74" s="2">
        <v>45658</v>
      </c>
      <c r="K74">
        <v>8582334567896</v>
      </c>
      <c r="L74" t="str" cm="1">
        <f t="array" ref="L74">_xlfn.IFS(LEN(K74)&lt;=9,"No Palsu",LEN(K74)&lt;=12,"No Asli",LEN(K74)&gt;12,"No Palsu")</f>
        <v>No Palsu</v>
      </c>
    </row>
    <row r="75" spans="1:12" x14ac:dyDescent="0.35">
      <c r="A75">
        <v>4211498</v>
      </c>
      <c r="B75" t="s">
        <v>175</v>
      </c>
      <c r="C75">
        <v>46</v>
      </c>
      <c r="D75" t="s">
        <v>12</v>
      </c>
      <c r="E75" t="s">
        <v>27</v>
      </c>
      <c r="F75" t="s">
        <v>176</v>
      </c>
      <c r="G75" t="s">
        <v>25</v>
      </c>
      <c r="H75" t="s">
        <v>29</v>
      </c>
      <c r="I75" s="1">
        <v>7740670</v>
      </c>
      <c r="J75" s="2">
        <v>45689</v>
      </c>
      <c r="K75">
        <v>8213456789</v>
      </c>
      <c r="L75" t="str" cm="1">
        <f t="array" ref="L75">_xlfn.IFS(LEN(K75)&lt;=9,"No Palsu",LEN(K75)&lt;=12,"No Asli",LEN(K75)&gt;12,"No Palsu")</f>
        <v>No Asli</v>
      </c>
    </row>
    <row r="76" spans="1:12" x14ac:dyDescent="0.35">
      <c r="A76">
        <v>4296337</v>
      </c>
      <c r="B76" t="s">
        <v>177</v>
      </c>
      <c r="C76">
        <v>58</v>
      </c>
      <c r="D76" t="s">
        <v>12</v>
      </c>
      <c r="E76" t="s">
        <v>13</v>
      </c>
      <c r="F76" t="s">
        <v>178</v>
      </c>
      <c r="G76" t="s">
        <v>40</v>
      </c>
      <c r="H76" t="s">
        <v>16</v>
      </c>
      <c r="I76" s="1">
        <v>6957123</v>
      </c>
      <c r="J76" s="2">
        <v>45717</v>
      </c>
      <c r="K76">
        <v>8221907561</v>
      </c>
      <c r="L76" t="str" cm="1">
        <f t="array" ref="L76">_xlfn.IFS(LEN(K76)&lt;=9,"No Palsu",LEN(K76)&lt;=12,"No Asli",LEN(K76)&gt;12,"No Palsu")</f>
        <v>No Asli</v>
      </c>
    </row>
    <row r="77" spans="1:12" x14ac:dyDescent="0.35">
      <c r="A77">
        <v>4385783</v>
      </c>
      <c r="B77" t="s">
        <v>179</v>
      </c>
      <c r="C77">
        <v>23</v>
      </c>
      <c r="D77" t="s">
        <v>12</v>
      </c>
      <c r="E77" t="s">
        <v>31</v>
      </c>
      <c r="F77" t="s">
        <v>180</v>
      </c>
      <c r="G77" t="s">
        <v>20</v>
      </c>
      <c r="H77" t="s">
        <v>33</v>
      </c>
      <c r="I77" s="1">
        <v>1385537</v>
      </c>
      <c r="J77" s="2">
        <v>45748</v>
      </c>
      <c r="K77">
        <v>81134567888</v>
      </c>
      <c r="L77" t="str" cm="1">
        <f t="array" ref="L77">_xlfn.IFS(LEN(K77)&lt;=9,"No Palsu",LEN(K77)&lt;=12,"No Asli",LEN(K77)&gt;12,"No Palsu")</f>
        <v>No Asli</v>
      </c>
    </row>
    <row r="78" spans="1:12" x14ac:dyDescent="0.35">
      <c r="A78">
        <v>4639830</v>
      </c>
      <c r="B78" t="s">
        <v>181</v>
      </c>
      <c r="C78">
        <v>26</v>
      </c>
      <c r="D78" t="s">
        <v>23</v>
      </c>
      <c r="E78" t="s">
        <v>55</v>
      </c>
      <c r="F78" t="s">
        <v>182</v>
      </c>
      <c r="G78" t="s">
        <v>15</v>
      </c>
      <c r="H78" t="s">
        <v>57</v>
      </c>
      <c r="I78" s="1">
        <v>8929360</v>
      </c>
      <c r="J78" s="2">
        <v>45778</v>
      </c>
      <c r="K78">
        <v>8083421567892</v>
      </c>
      <c r="L78" t="str" cm="1">
        <f t="array" ref="L78">_xlfn.IFS(LEN(K78)&lt;=9,"No Palsu",LEN(K78)&lt;=12,"No Asli",LEN(K78)&gt;12,"No Palsu")</f>
        <v>No Palsu</v>
      </c>
    </row>
    <row r="79" spans="1:12" x14ac:dyDescent="0.35">
      <c r="A79">
        <v>4699242</v>
      </c>
      <c r="B79" t="s">
        <v>183</v>
      </c>
      <c r="C79">
        <v>38</v>
      </c>
      <c r="D79" t="s">
        <v>23</v>
      </c>
      <c r="E79" t="s">
        <v>18</v>
      </c>
      <c r="F79" t="s">
        <v>184</v>
      </c>
      <c r="G79" t="s">
        <v>25</v>
      </c>
      <c r="H79" t="s">
        <v>21</v>
      </c>
      <c r="I79" s="1">
        <v>4853662</v>
      </c>
      <c r="J79" s="2">
        <v>45809</v>
      </c>
      <c r="K79">
        <v>81134566</v>
      </c>
      <c r="L79" t="str" cm="1">
        <f t="array" ref="L79">_xlfn.IFS(LEN(K79)&lt;=9,"No Palsu",LEN(K79)&lt;=12,"No Asli",LEN(K79)&gt;12,"No Palsu")</f>
        <v>No Palsu</v>
      </c>
    </row>
    <row r="80" spans="1:12" x14ac:dyDescent="0.35">
      <c r="A80">
        <v>4802566</v>
      </c>
      <c r="B80" t="s">
        <v>185</v>
      </c>
      <c r="C80">
        <v>15</v>
      </c>
      <c r="D80" t="s">
        <v>12</v>
      </c>
      <c r="E80" t="s">
        <v>83</v>
      </c>
      <c r="F80" t="s">
        <v>186</v>
      </c>
      <c r="G80" t="s">
        <v>46</v>
      </c>
      <c r="H80" t="s">
        <v>85</v>
      </c>
      <c r="I80" s="1">
        <v>1349140</v>
      </c>
      <c r="J80" s="2">
        <v>45839</v>
      </c>
      <c r="K80">
        <v>82134527811</v>
      </c>
      <c r="L80" t="str" cm="1">
        <f t="array" ref="L80">_xlfn.IFS(LEN(K80)&lt;=9,"No Palsu",LEN(K80)&lt;=12,"No Asli",LEN(K80)&gt;12,"No Palsu")</f>
        <v>No Asli</v>
      </c>
    </row>
    <row r="81" spans="1:12" x14ac:dyDescent="0.35">
      <c r="A81">
        <v>4815127</v>
      </c>
      <c r="B81" t="s">
        <v>187</v>
      </c>
      <c r="C81">
        <v>35</v>
      </c>
      <c r="D81" t="s">
        <v>12</v>
      </c>
      <c r="E81" t="s">
        <v>31</v>
      </c>
      <c r="F81" t="s">
        <v>188</v>
      </c>
      <c r="G81" t="s">
        <v>15</v>
      </c>
      <c r="H81" t="s">
        <v>33</v>
      </c>
      <c r="I81" s="1">
        <v>1286347</v>
      </c>
      <c r="J81" s="2">
        <v>45870</v>
      </c>
      <c r="K81">
        <v>811322674</v>
      </c>
      <c r="L81" t="str" cm="1">
        <f t="array" ref="L81">_xlfn.IFS(LEN(K81)&lt;=9,"No Palsu",LEN(K81)&lt;=12,"No Asli",LEN(K81)&gt;12,"No Palsu")</f>
        <v>No Palsu</v>
      </c>
    </row>
    <row r="82" spans="1:12" x14ac:dyDescent="0.35">
      <c r="A82">
        <v>4849083</v>
      </c>
      <c r="B82" t="s">
        <v>189</v>
      </c>
      <c r="C82">
        <v>16</v>
      </c>
      <c r="D82" t="s">
        <v>12</v>
      </c>
      <c r="E82" t="s">
        <v>77</v>
      </c>
      <c r="F82" t="s">
        <v>190</v>
      </c>
      <c r="G82" t="s">
        <v>46</v>
      </c>
      <c r="H82" t="s">
        <v>79</v>
      </c>
      <c r="I82" s="1">
        <v>4450010</v>
      </c>
      <c r="J82" s="2">
        <v>45901</v>
      </c>
      <c r="K82">
        <v>8582334567896</v>
      </c>
      <c r="L82" t="str" cm="1">
        <f t="array" ref="L82">_xlfn.IFS(LEN(K82)&lt;=9,"No Palsu",LEN(K82)&lt;=12,"No Asli",LEN(K82)&gt;12,"No Palsu")</f>
        <v>No Palsu</v>
      </c>
    </row>
    <row r="83" spans="1:12" x14ac:dyDescent="0.35">
      <c r="A83">
        <v>4849083</v>
      </c>
      <c r="B83" t="s">
        <v>189</v>
      </c>
      <c r="C83">
        <v>16</v>
      </c>
      <c r="D83" t="s">
        <v>12</v>
      </c>
      <c r="E83" t="s">
        <v>59</v>
      </c>
      <c r="F83" t="s">
        <v>191</v>
      </c>
      <c r="G83" t="s">
        <v>46</v>
      </c>
      <c r="H83" t="s">
        <v>61</v>
      </c>
      <c r="I83" s="1">
        <v>7343447</v>
      </c>
      <c r="J83" s="2">
        <v>45931</v>
      </c>
      <c r="K83">
        <v>8213456789</v>
      </c>
      <c r="L83" t="str" cm="1">
        <f t="array" ref="L83">_xlfn.IFS(LEN(K83)&lt;=9,"No Palsu",LEN(K83)&lt;=12,"No Asli",LEN(K83)&gt;12,"No Palsu")</f>
        <v>No Asli</v>
      </c>
    </row>
    <row r="84" spans="1:12" x14ac:dyDescent="0.35">
      <c r="A84">
        <v>4849085</v>
      </c>
      <c r="B84" t="s">
        <v>192</v>
      </c>
      <c r="C84">
        <v>16</v>
      </c>
      <c r="D84" t="s">
        <v>12</v>
      </c>
      <c r="E84" t="s">
        <v>89</v>
      </c>
      <c r="F84" t="s">
        <v>193</v>
      </c>
      <c r="G84" t="s">
        <v>46</v>
      </c>
      <c r="H84" t="s">
        <v>91</v>
      </c>
      <c r="I84" s="1">
        <v>2760793</v>
      </c>
      <c r="J84" s="2">
        <v>45962</v>
      </c>
      <c r="K84">
        <v>8221907561</v>
      </c>
      <c r="L84" t="str" cm="1">
        <f t="array" ref="L84">_xlfn.IFS(LEN(K84)&lt;=9,"No Palsu",LEN(K84)&lt;=12,"No Asli",LEN(K84)&gt;12,"No Palsu")</f>
        <v>No Asli</v>
      </c>
    </row>
    <row r="85" spans="1:12" x14ac:dyDescent="0.35">
      <c r="A85">
        <v>4871181</v>
      </c>
      <c r="B85" t="s">
        <v>194</v>
      </c>
      <c r="C85">
        <v>19</v>
      </c>
      <c r="D85" t="s">
        <v>23</v>
      </c>
      <c r="E85" t="s">
        <v>77</v>
      </c>
      <c r="F85" t="s">
        <v>195</v>
      </c>
      <c r="G85" t="s">
        <v>46</v>
      </c>
      <c r="H85" t="s">
        <v>79</v>
      </c>
      <c r="I85" s="1">
        <v>3559932</v>
      </c>
      <c r="J85" s="2">
        <v>45992</v>
      </c>
      <c r="K85">
        <v>81134567888</v>
      </c>
      <c r="L85" t="str" cm="1">
        <f t="array" ref="L85">_xlfn.IFS(LEN(K85)&lt;=9,"No Palsu",LEN(K85)&lt;=12,"No Asli",LEN(K85)&gt;12,"No Palsu")</f>
        <v>No Asli</v>
      </c>
    </row>
    <row r="86" spans="1:12" x14ac:dyDescent="0.35">
      <c r="A86">
        <v>4908716</v>
      </c>
      <c r="B86" t="s">
        <v>196</v>
      </c>
      <c r="C86">
        <v>20</v>
      </c>
      <c r="D86" t="s">
        <v>23</v>
      </c>
      <c r="E86" t="s">
        <v>13</v>
      </c>
      <c r="F86" t="s">
        <v>197</v>
      </c>
      <c r="G86" t="s">
        <v>46</v>
      </c>
      <c r="H86" t="s">
        <v>16</v>
      </c>
      <c r="I86" s="1">
        <v>7152962</v>
      </c>
      <c r="J86" s="2">
        <v>45658</v>
      </c>
      <c r="K86">
        <v>8083421567892</v>
      </c>
      <c r="L86" t="str" cm="1">
        <f t="array" ref="L86">_xlfn.IFS(LEN(K86)&lt;=9,"No Palsu",LEN(K86)&lt;=12,"No Asli",LEN(K86)&gt;12,"No Palsu")</f>
        <v>No Palsu</v>
      </c>
    </row>
    <row r="87" spans="1:12" x14ac:dyDescent="0.35">
      <c r="A87">
        <v>4939445</v>
      </c>
      <c r="B87" t="s">
        <v>198</v>
      </c>
      <c r="C87">
        <v>18</v>
      </c>
      <c r="D87" t="s">
        <v>12</v>
      </c>
      <c r="E87" t="s">
        <v>89</v>
      </c>
      <c r="F87" t="s">
        <v>199</v>
      </c>
      <c r="G87" t="s">
        <v>46</v>
      </c>
      <c r="H87" t="s">
        <v>91</v>
      </c>
      <c r="I87" s="1">
        <v>1384551</v>
      </c>
      <c r="J87" s="2">
        <v>45689</v>
      </c>
      <c r="K87">
        <v>81134566</v>
      </c>
      <c r="L87" t="str" cm="1">
        <f t="array" ref="L87">_xlfn.IFS(LEN(K87)&lt;=9,"No Palsu",LEN(K87)&lt;=12,"No Asli",LEN(K87)&gt;12,"No Palsu")</f>
        <v>No Palsu</v>
      </c>
    </row>
    <row r="88" spans="1:12" x14ac:dyDescent="0.35">
      <c r="A88">
        <v>4943286</v>
      </c>
      <c r="B88" t="s">
        <v>200</v>
      </c>
      <c r="C88">
        <v>52</v>
      </c>
      <c r="D88" t="s">
        <v>12</v>
      </c>
      <c r="E88" t="s">
        <v>13</v>
      </c>
      <c r="F88" t="s">
        <v>201</v>
      </c>
      <c r="G88" t="s">
        <v>40</v>
      </c>
      <c r="H88" t="s">
        <v>16</v>
      </c>
      <c r="I88" s="1">
        <v>9285310</v>
      </c>
      <c r="J88" s="2">
        <v>45717</v>
      </c>
      <c r="K88">
        <v>82134527811</v>
      </c>
      <c r="L88" t="str" cm="1">
        <f t="array" ref="L88">_xlfn.IFS(LEN(K88)&lt;=9,"No Palsu",LEN(K88)&lt;=12,"No Asli",LEN(K88)&gt;12,"No Palsu")</f>
        <v>No Asli</v>
      </c>
    </row>
    <row r="89" spans="1:12" x14ac:dyDescent="0.35">
      <c r="A89">
        <v>4943286</v>
      </c>
      <c r="B89" t="s">
        <v>202</v>
      </c>
      <c r="C89">
        <v>52</v>
      </c>
      <c r="D89" t="s">
        <v>12</v>
      </c>
      <c r="E89" t="s">
        <v>27</v>
      </c>
      <c r="F89" t="s">
        <v>203</v>
      </c>
      <c r="G89" t="s">
        <v>40</v>
      </c>
      <c r="H89" t="s">
        <v>29</v>
      </c>
      <c r="I89" s="1">
        <v>4208839</v>
      </c>
      <c r="J89" s="2">
        <v>45748</v>
      </c>
      <c r="K89">
        <v>811322674</v>
      </c>
      <c r="L89" t="str" cm="1">
        <f t="array" ref="L89">_xlfn.IFS(LEN(K89)&lt;=9,"No Palsu",LEN(K89)&lt;=12,"No Asli",LEN(K89)&gt;12,"No Palsu")</f>
        <v>No Palsu</v>
      </c>
    </row>
    <row r="90" spans="1:12" x14ac:dyDescent="0.35">
      <c r="A90">
        <v>4985295</v>
      </c>
      <c r="B90" t="s">
        <v>70</v>
      </c>
      <c r="C90">
        <v>16</v>
      </c>
      <c r="D90" t="s">
        <v>23</v>
      </c>
      <c r="E90" t="s">
        <v>59</v>
      </c>
      <c r="F90" t="s">
        <v>204</v>
      </c>
      <c r="G90" t="s">
        <v>46</v>
      </c>
      <c r="H90" t="s">
        <v>61</v>
      </c>
      <c r="I90" s="1">
        <v>5202973</v>
      </c>
      <c r="J90" s="2">
        <v>45778</v>
      </c>
      <c r="K90">
        <v>8582334567896</v>
      </c>
      <c r="L90" t="str" cm="1">
        <f t="array" ref="L90">_xlfn.IFS(LEN(K90)&lt;=9,"No Palsu",LEN(K90)&lt;=12,"No Asli",LEN(K90)&gt;12,"No Palsu")</f>
        <v>No Palsu</v>
      </c>
    </row>
    <row r="91" spans="1:12" x14ac:dyDescent="0.35">
      <c r="A91">
        <v>4999597</v>
      </c>
      <c r="B91" t="s">
        <v>205</v>
      </c>
      <c r="C91">
        <v>55</v>
      </c>
      <c r="D91" t="s">
        <v>12</v>
      </c>
      <c r="E91" t="s">
        <v>55</v>
      </c>
      <c r="F91" t="s">
        <v>206</v>
      </c>
      <c r="G91" t="s">
        <v>40</v>
      </c>
      <c r="H91" t="s">
        <v>57</v>
      </c>
      <c r="I91" s="1">
        <v>4404553</v>
      </c>
      <c r="J91" s="2">
        <v>45809</v>
      </c>
      <c r="K91">
        <v>8213456789</v>
      </c>
      <c r="L91" t="str" cm="1">
        <f t="array" ref="L91">_xlfn.IFS(LEN(K91)&lt;=9,"No Palsu",LEN(K91)&lt;=12,"No Asli",LEN(K91)&gt;12,"No Palsu")</f>
        <v>No Asli</v>
      </c>
    </row>
    <row r="92" spans="1:12" x14ac:dyDescent="0.35">
      <c r="A92">
        <v>5085108</v>
      </c>
      <c r="B92" t="s">
        <v>207</v>
      </c>
      <c r="C92">
        <v>34</v>
      </c>
      <c r="D92" t="s">
        <v>23</v>
      </c>
      <c r="E92" t="s">
        <v>35</v>
      </c>
      <c r="F92" t="s">
        <v>208</v>
      </c>
      <c r="G92" t="s">
        <v>15</v>
      </c>
      <c r="H92" t="s">
        <v>37</v>
      </c>
      <c r="I92" s="1">
        <v>4088628</v>
      </c>
      <c r="J92" s="2">
        <v>45839</v>
      </c>
      <c r="K92">
        <v>8221907561</v>
      </c>
      <c r="L92" t="str" cm="1">
        <f t="array" ref="L92">_xlfn.IFS(LEN(K92)&lt;=9,"No Palsu",LEN(K92)&lt;=12,"No Asli",LEN(K92)&gt;12,"No Palsu")</f>
        <v>No Asli</v>
      </c>
    </row>
    <row r="93" spans="1:12" x14ac:dyDescent="0.35">
      <c r="A93">
        <v>5113873</v>
      </c>
      <c r="B93" t="s">
        <v>209</v>
      </c>
      <c r="C93">
        <v>22</v>
      </c>
      <c r="D93" t="s">
        <v>12</v>
      </c>
      <c r="E93" t="s">
        <v>59</v>
      </c>
      <c r="F93" t="s">
        <v>210</v>
      </c>
      <c r="G93" t="s">
        <v>20</v>
      </c>
      <c r="H93" t="s">
        <v>61</v>
      </c>
      <c r="I93" s="1">
        <v>4077620</v>
      </c>
      <c r="J93" s="2">
        <v>45870</v>
      </c>
      <c r="K93">
        <v>81134567888</v>
      </c>
      <c r="L93" t="str" cm="1">
        <f t="array" ref="L93">_xlfn.IFS(LEN(K93)&lt;=9,"No Palsu",LEN(K93)&lt;=12,"No Asli",LEN(K93)&gt;12,"No Palsu")</f>
        <v>No Asli</v>
      </c>
    </row>
    <row r="94" spans="1:12" x14ac:dyDescent="0.35">
      <c r="A94">
        <v>5113873</v>
      </c>
      <c r="B94" t="s">
        <v>209</v>
      </c>
      <c r="C94">
        <v>22</v>
      </c>
      <c r="D94" t="s">
        <v>12</v>
      </c>
      <c r="E94" t="s">
        <v>55</v>
      </c>
      <c r="F94" t="s">
        <v>211</v>
      </c>
      <c r="G94" t="s">
        <v>20</v>
      </c>
      <c r="H94" t="s">
        <v>57</v>
      </c>
      <c r="I94" s="1">
        <v>2808199</v>
      </c>
      <c r="J94" s="2">
        <v>45901</v>
      </c>
      <c r="K94">
        <v>8083421567892</v>
      </c>
      <c r="L94" t="str" cm="1">
        <f t="array" ref="L94">_xlfn.IFS(LEN(K94)&lt;=9,"No Palsu",LEN(K94)&lt;=12,"No Asli",LEN(K94)&gt;12,"No Palsu")</f>
        <v>No Palsu</v>
      </c>
    </row>
    <row r="95" spans="1:12" x14ac:dyDescent="0.35">
      <c r="A95">
        <v>5113875</v>
      </c>
      <c r="B95" t="s">
        <v>212</v>
      </c>
      <c r="C95">
        <v>22</v>
      </c>
      <c r="D95" t="s">
        <v>12</v>
      </c>
      <c r="E95" t="s">
        <v>44</v>
      </c>
      <c r="F95" t="s">
        <v>213</v>
      </c>
      <c r="G95" t="s">
        <v>20</v>
      </c>
      <c r="H95" t="s">
        <v>47</v>
      </c>
      <c r="I95" s="1">
        <v>7160524</v>
      </c>
      <c r="J95" s="2">
        <v>45931</v>
      </c>
      <c r="K95">
        <v>81134566</v>
      </c>
      <c r="L95" t="str" cm="1">
        <f t="array" ref="L95">_xlfn.IFS(LEN(K95)&lt;=9,"No Palsu",LEN(K95)&lt;=12,"No Asli",LEN(K95)&gt;12,"No Palsu")</f>
        <v>No Palsu</v>
      </c>
    </row>
    <row r="96" spans="1:12" x14ac:dyDescent="0.35">
      <c r="A96">
        <v>5234443</v>
      </c>
      <c r="B96" t="s">
        <v>214</v>
      </c>
      <c r="C96">
        <v>31</v>
      </c>
      <c r="D96" t="s">
        <v>23</v>
      </c>
      <c r="E96" t="s">
        <v>35</v>
      </c>
      <c r="F96" t="s">
        <v>215</v>
      </c>
      <c r="G96" t="s">
        <v>15</v>
      </c>
      <c r="H96" t="s">
        <v>37</v>
      </c>
      <c r="I96" s="1">
        <v>6999884</v>
      </c>
      <c r="J96" s="2">
        <v>45962</v>
      </c>
      <c r="K96">
        <v>82134527811</v>
      </c>
      <c r="L96" t="str" cm="1">
        <f t="array" ref="L96">_xlfn.IFS(LEN(K96)&lt;=9,"No Palsu",LEN(K96)&lt;=12,"No Asli",LEN(K96)&gt;12,"No Palsu")</f>
        <v>No Asli</v>
      </c>
    </row>
    <row r="97" spans="1:12" x14ac:dyDescent="0.35">
      <c r="A97">
        <v>5267253</v>
      </c>
      <c r="B97" t="s">
        <v>216</v>
      </c>
      <c r="C97">
        <v>57</v>
      </c>
      <c r="D97" t="s">
        <v>23</v>
      </c>
      <c r="E97" t="s">
        <v>77</v>
      </c>
      <c r="F97" t="s">
        <v>217</v>
      </c>
      <c r="G97" t="s">
        <v>40</v>
      </c>
      <c r="H97" t="s">
        <v>79</v>
      </c>
      <c r="I97" s="1">
        <v>3207000</v>
      </c>
      <c r="J97" s="2">
        <v>45992</v>
      </c>
      <c r="K97">
        <v>811322674</v>
      </c>
      <c r="L97" t="str" cm="1">
        <f t="array" ref="L97">_xlfn.IFS(LEN(K97)&lt;=9,"No Palsu",LEN(K97)&lt;=12,"No Asli",LEN(K97)&gt;12,"No Palsu")</f>
        <v>No Palsu</v>
      </c>
    </row>
    <row r="98" spans="1:12" x14ac:dyDescent="0.35">
      <c r="A98">
        <v>5488680</v>
      </c>
      <c r="B98" t="s">
        <v>218</v>
      </c>
      <c r="C98">
        <v>55</v>
      </c>
      <c r="D98" t="s">
        <v>23</v>
      </c>
      <c r="E98" t="s">
        <v>55</v>
      </c>
      <c r="F98" t="s">
        <v>219</v>
      </c>
      <c r="G98" t="s">
        <v>40</v>
      </c>
      <c r="H98" t="s">
        <v>57</v>
      </c>
      <c r="I98" s="1">
        <v>2372383</v>
      </c>
      <c r="J98" s="2">
        <v>45658</v>
      </c>
      <c r="K98">
        <v>8582334567896</v>
      </c>
      <c r="L98" t="str" cm="1">
        <f t="array" ref="L98">_xlfn.IFS(LEN(K98)&lt;=9,"No Palsu",LEN(K98)&lt;=12,"No Asli",LEN(K98)&gt;12,"No Palsu")</f>
        <v>No Palsu</v>
      </c>
    </row>
    <row r="99" spans="1:12" x14ac:dyDescent="0.35">
      <c r="A99">
        <v>5509941</v>
      </c>
      <c r="B99" t="s">
        <v>220</v>
      </c>
      <c r="C99">
        <v>37</v>
      </c>
      <c r="D99" t="s">
        <v>12</v>
      </c>
      <c r="E99" t="s">
        <v>63</v>
      </c>
      <c r="F99" t="s">
        <v>221</v>
      </c>
      <c r="G99" t="s">
        <v>25</v>
      </c>
      <c r="H99" t="s">
        <v>65</v>
      </c>
      <c r="I99" s="1">
        <v>2160769</v>
      </c>
      <c r="J99" s="2">
        <v>45689</v>
      </c>
      <c r="K99">
        <v>8213456789</v>
      </c>
      <c r="L99" t="str" cm="1">
        <f t="array" ref="L99">_xlfn.IFS(LEN(K99)&lt;=9,"No Palsu",LEN(K99)&lt;=12,"No Asli",LEN(K99)&gt;12,"No Palsu")</f>
        <v>No Asli</v>
      </c>
    </row>
    <row r="100" spans="1:12" x14ac:dyDescent="0.35">
      <c r="A100">
        <v>5509948</v>
      </c>
      <c r="B100" t="s">
        <v>222</v>
      </c>
      <c r="C100">
        <v>37</v>
      </c>
      <c r="D100" t="s">
        <v>12</v>
      </c>
      <c r="E100" t="s">
        <v>139</v>
      </c>
      <c r="F100" t="s">
        <v>223</v>
      </c>
      <c r="G100" t="s">
        <v>25</v>
      </c>
      <c r="H100" t="s">
        <v>141</v>
      </c>
      <c r="I100" s="1">
        <v>8893155</v>
      </c>
      <c r="J100" s="2">
        <v>45717</v>
      </c>
      <c r="K100">
        <v>8221907561</v>
      </c>
      <c r="L100" t="str" cm="1">
        <f t="array" ref="L100">_xlfn.IFS(LEN(K100)&lt;=9,"No Palsu",LEN(K100)&lt;=12,"No Asli",LEN(K100)&gt;12,"No Palsu")</f>
        <v>No Asli</v>
      </c>
    </row>
    <row r="101" spans="1:12" x14ac:dyDescent="0.35">
      <c r="A101">
        <v>5573033</v>
      </c>
      <c r="B101" t="s">
        <v>224</v>
      </c>
      <c r="C101">
        <v>20</v>
      </c>
      <c r="D101" t="s">
        <v>23</v>
      </c>
      <c r="E101" t="s">
        <v>31</v>
      </c>
      <c r="F101" t="s">
        <v>225</v>
      </c>
      <c r="G101" t="s">
        <v>46</v>
      </c>
      <c r="H101" t="s">
        <v>33</v>
      </c>
      <c r="I101" s="1">
        <v>9421130</v>
      </c>
      <c r="J101" s="2">
        <v>45748</v>
      </c>
      <c r="K101">
        <v>81134567888</v>
      </c>
      <c r="L101" t="str" cm="1">
        <f t="array" ref="L101">_xlfn.IFS(LEN(K101)&lt;=9,"No Palsu",LEN(K101)&lt;=12,"No Asli",LEN(K101)&gt;12,"No Palsu")</f>
        <v>No Asli</v>
      </c>
    </row>
    <row r="102" spans="1:12" x14ac:dyDescent="0.35">
      <c r="A102">
        <v>5725578</v>
      </c>
      <c r="B102" t="s">
        <v>226</v>
      </c>
      <c r="C102">
        <v>45</v>
      </c>
      <c r="D102" t="s">
        <v>23</v>
      </c>
      <c r="E102" t="s">
        <v>44</v>
      </c>
      <c r="F102" t="s">
        <v>227</v>
      </c>
      <c r="G102" t="s">
        <v>25</v>
      </c>
      <c r="H102" t="s">
        <v>47</v>
      </c>
      <c r="I102" s="1">
        <v>1330634</v>
      </c>
      <c r="J102" s="2">
        <v>45778</v>
      </c>
      <c r="K102">
        <v>8083421567892</v>
      </c>
      <c r="L102" t="str" cm="1">
        <f t="array" ref="L102">_xlfn.IFS(LEN(K102)&lt;=9,"No Palsu",LEN(K102)&lt;=12,"No Asli",LEN(K102)&gt;12,"No Palsu")</f>
        <v>No Palsu</v>
      </c>
    </row>
    <row r="103" spans="1:12" x14ac:dyDescent="0.35">
      <c r="A103">
        <v>5736510</v>
      </c>
      <c r="B103" t="s">
        <v>228</v>
      </c>
      <c r="C103">
        <v>44</v>
      </c>
      <c r="D103" t="s">
        <v>23</v>
      </c>
      <c r="E103" t="s">
        <v>139</v>
      </c>
      <c r="F103" t="s">
        <v>229</v>
      </c>
      <c r="G103" t="s">
        <v>25</v>
      </c>
      <c r="H103" t="s">
        <v>141</v>
      </c>
      <c r="I103" s="1">
        <v>4039653</v>
      </c>
      <c r="J103" s="2">
        <v>45809</v>
      </c>
      <c r="K103">
        <v>81134566</v>
      </c>
      <c r="L103" t="str" cm="1">
        <f t="array" ref="L103">_xlfn.IFS(LEN(K103)&lt;=9,"No Palsu",LEN(K103)&lt;=12,"No Asli",LEN(K103)&gt;12,"No Palsu")</f>
        <v>No Palsu</v>
      </c>
    </row>
    <row r="104" spans="1:12" x14ac:dyDescent="0.35">
      <c r="A104">
        <v>5797818</v>
      </c>
      <c r="B104" t="s">
        <v>230</v>
      </c>
      <c r="C104">
        <v>26</v>
      </c>
      <c r="D104" t="s">
        <v>12</v>
      </c>
      <c r="E104" t="s">
        <v>44</v>
      </c>
      <c r="F104" t="s">
        <v>231</v>
      </c>
      <c r="G104" t="s">
        <v>15</v>
      </c>
      <c r="H104" t="s">
        <v>47</v>
      </c>
      <c r="I104" s="1">
        <v>8413829</v>
      </c>
      <c r="J104" s="2">
        <v>45839</v>
      </c>
      <c r="K104">
        <v>82134527811</v>
      </c>
      <c r="L104" t="str" cm="1">
        <f t="array" ref="L104">_xlfn.IFS(LEN(K104)&lt;=9,"No Palsu",LEN(K104)&lt;=12,"No Asli",LEN(K104)&gt;12,"No Palsu")</f>
        <v>No Asli</v>
      </c>
    </row>
    <row r="105" spans="1:12" x14ac:dyDescent="0.35">
      <c r="A105">
        <v>5819531</v>
      </c>
      <c r="B105" t="s">
        <v>232</v>
      </c>
      <c r="C105">
        <v>17</v>
      </c>
      <c r="D105" t="s">
        <v>23</v>
      </c>
      <c r="E105" t="s">
        <v>77</v>
      </c>
      <c r="F105" t="s">
        <v>233</v>
      </c>
      <c r="G105" t="s">
        <v>46</v>
      </c>
      <c r="H105" t="s">
        <v>79</v>
      </c>
      <c r="I105" s="1">
        <v>1770039</v>
      </c>
      <c r="J105" s="2">
        <v>45870</v>
      </c>
      <c r="K105">
        <v>811322674</v>
      </c>
      <c r="L105" t="str" cm="1">
        <f t="array" ref="L105">_xlfn.IFS(LEN(K105)&lt;=9,"No Palsu",LEN(K105)&lt;=12,"No Asli",LEN(K105)&gt;12,"No Palsu")</f>
        <v>No Palsu</v>
      </c>
    </row>
    <row r="106" spans="1:12" x14ac:dyDescent="0.35">
      <c r="A106">
        <v>5839820</v>
      </c>
      <c r="B106" t="s">
        <v>234</v>
      </c>
      <c r="C106">
        <v>39</v>
      </c>
      <c r="D106" t="s">
        <v>12</v>
      </c>
      <c r="E106" t="s">
        <v>77</v>
      </c>
      <c r="F106" t="s">
        <v>235</v>
      </c>
      <c r="G106" t="s">
        <v>25</v>
      </c>
      <c r="H106" t="s">
        <v>79</v>
      </c>
      <c r="I106" s="1">
        <v>1374811</v>
      </c>
      <c r="J106" s="2">
        <v>45901</v>
      </c>
      <c r="K106">
        <v>8582334567896</v>
      </c>
      <c r="L106" t="str" cm="1">
        <f t="array" ref="L106">_xlfn.IFS(LEN(K106)&lt;=9,"No Palsu",LEN(K106)&lt;=12,"No Asli",LEN(K106)&gt;12,"No Palsu")</f>
        <v>No Palsu</v>
      </c>
    </row>
    <row r="107" spans="1:12" x14ac:dyDescent="0.35">
      <c r="A107">
        <v>5881429</v>
      </c>
      <c r="B107" t="s">
        <v>236</v>
      </c>
      <c r="C107">
        <v>28</v>
      </c>
      <c r="D107" t="s">
        <v>12</v>
      </c>
      <c r="E107" t="s">
        <v>44</v>
      </c>
      <c r="F107" t="s">
        <v>237</v>
      </c>
      <c r="G107" t="s">
        <v>15</v>
      </c>
      <c r="H107" t="s">
        <v>47</v>
      </c>
      <c r="I107" s="1">
        <v>1945153</v>
      </c>
      <c r="J107" s="2">
        <v>45931</v>
      </c>
      <c r="K107">
        <v>8213456789</v>
      </c>
      <c r="L107" t="str" cm="1">
        <f t="array" ref="L107">_xlfn.IFS(LEN(K107)&lt;=9,"No Palsu",LEN(K107)&lt;=12,"No Asli",LEN(K107)&gt;12,"No Palsu")</f>
        <v>No Asli</v>
      </c>
    </row>
    <row r="108" spans="1:12" x14ac:dyDescent="0.35">
      <c r="A108">
        <v>5881429</v>
      </c>
      <c r="B108" t="s">
        <v>238</v>
      </c>
      <c r="C108">
        <v>62</v>
      </c>
      <c r="D108" t="s">
        <v>12</v>
      </c>
      <c r="E108" t="s">
        <v>13</v>
      </c>
      <c r="F108" t="s">
        <v>239</v>
      </c>
      <c r="G108" t="s">
        <v>40</v>
      </c>
      <c r="H108" t="s">
        <v>16</v>
      </c>
      <c r="I108" s="1">
        <v>7059615</v>
      </c>
      <c r="J108" s="2">
        <v>45717</v>
      </c>
      <c r="K108">
        <v>8221907561</v>
      </c>
      <c r="L108" t="str" cm="1">
        <f t="array" ref="L108">_xlfn.IFS(LEN(K108)&lt;=9,"No Palsu",LEN(K108)&lt;=12,"No Asli",LEN(K108)&gt;12,"No Palsu")</f>
        <v>No Asli</v>
      </c>
    </row>
    <row r="109" spans="1:12" x14ac:dyDescent="0.35">
      <c r="A109">
        <v>5927810</v>
      </c>
      <c r="B109" t="s">
        <v>240</v>
      </c>
      <c r="C109">
        <v>17</v>
      </c>
      <c r="D109" t="s">
        <v>23</v>
      </c>
      <c r="E109" t="s">
        <v>13</v>
      </c>
      <c r="F109" t="s">
        <v>241</v>
      </c>
      <c r="G109" t="s">
        <v>46</v>
      </c>
      <c r="H109" t="s">
        <v>16</v>
      </c>
      <c r="I109" s="1">
        <v>4756931</v>
      </c>
      <c r="J109" s="2">
        <v>45748</v>
      </c>
      <c r="K109">
        <v>81134567888</v>
      </c>
      <c r="L109" t="str" cm="1">
        <f t="array" ref="L109">_xlfn.IFS(LEN(K109)&lt;=9,"No Palsu",LEN(K109)&lt;=12,"No Asli",LEN(K109)&gt;12,"No Palsu")</f>
        <v>No Asli</v>
      </c>
    </row>
    <row r="110" spans="1:12" x14ac:dyDescent="0.35">
      <c r="A110">
        <v>6068619</v>
      </c>
      <c r="B110" t="s">
        <v>242</v>
      </c>
      <c r="C110">
        <v>29</v>
      </c>
      <c r="D110" t="s">
        <v>23</v>
      </c>
      <c r="E110" t="s">
        <v>139</v>
      </c>
      <c r="F110" t="s">
        <v>243</v>
      </c>
      <c r="G110" t="s">
        <v>15</v>
      </c>
      <c r="H110" t="s">
        <v>141</v>
      </c>
      <c r="I110" s="1">
        <v>1660265</v>
      </c>
      <c r="J110" s="2">
        <v>45717</v>
      </c>
      <c r="K110">
        <v>8083421567892</v>
      </c>
      <c r="L110" t="str" cm="1">
        <f t="array" ref="L110">_xlfn.IFS(LEN(K110)&lt;=9,"No Palsu",LEN(K110)&lt;=12,"No Asli",LEN(K110)&gt;12,"No Palsu")</f>
        <v>No Palsu</v>
      </c>
    </row>
    <row r="111" spans="1:12" x14ac:dyDescent="0.35">
      <c r="A111">
        <v>6068619</v>
      </c>
      <c r="B111" t="s">
        <v>242</v>
      </c>
      <c r="C111">
        <v>62</v>
      </c>
      <c r="D111" t="s">
        <v>23</v>
      </c>
      <c r="E111" t="s">
        <v>31</v>
      </c>
      <c r="F111" t="s">
        <v>244</v>
      </c>
      <c r="G111" t="s">
        <v>40</v>
      </c>
      <c r="H111" t="s">
        <v>33</v>
      </c>
      <c r="I111" s="1">
        <v>9146697</v>
      </c>
      <c r="J111" s="2">
        <v>45717</v>
      </c>
      <c r="K111">
        <v>81134566</v>
      </c>
      <c r="L111" t="str" cm="1">
        <f t="array" ref="L111">_xlfn.IFS(LEN(K111)&lt;=9,"No Palsu",LEN(K111)&lt;=12,"No Asli",LEN(K111)&gt;12,"No Palsu")</f>
        <v>No Palsu</v>
      </c>
    </row>
    <row r="112" spans="1:12" x14ac:dyDescent="0.35">
      <c r="A112">
        <v>6102743</v>
      </c>
      <c r="B112" t="s">
        <v>245</v>
      </c>
      <c r="C112">
        <v>38</v>
      </c>
      <c r="D112" t="s">
        <v>12</v>
      </c>
      <c r="E112" t="s">
        <v>55</v>
      </c>
      <c r="F112" t="s">
        <v>246</v>
      </c>
      <c r="G112" t="s">
        <v>25</v>
      </c>
      <c r="H112" t="s">
        <v>57</v>
      </c>
      <c r="I112" s="1">
        <v>1136054</v>
      </c>
      <c r="J112" s="2">
        <v>45748</v>
      </c>
      <c r="K112">
        <v>82134527811</v>
      </c>
      <c r="L112" t="str" cm="1">
        <f t="array" ref="L112">_xlfn.IFS(LEN(K112)&lt;=9,"No Palsu",LEN(K112)&lt;=12,"No Asli",LEN(K112)&gt;12,"No Palsu")</f>
        <v>No Asli</v>
      </c>
    </row>
    <row r="113" spans="1:12" x14ac:dyDescent="0.35">
      <c r="A113">
        <v>6126785</v>
      </c>
      <c r="B113" t="s">
        <v>247</v>
      </c>
      <c r="C113">
        <v>22</v>
      </c>
      <c r="D113" t="s">
        <v>23</v>
      </c>
      <c r="E113" t="s">
        <v>44</v>
      </c>
      <c r="F113" t="s">
        <v>248</v>
      </c>
      <c r="G113" t="s">
        <v>20</v>
      </c>
      <c r="H113" t="s">
        <v>47</v>
      </c>
      <c r="I113" s="1">
        <v>5704161</v>
      </c>
      <c r="J113" s="2">
        <v>45717</v>
      </c>
      <c r="K113">
        <v>811322674</v>
      </c>
      <c r="L113" t="str" cm="1">
        <f t="array" ref="L113">_xlfn.IFS(LEN(K113)&lt;=9,"No Palsu",LEN(K113)&lt;=12,"No Asli",LEN(K113)&gt;12,"No Palsu")</f>
        <v>No Palsu</v>
      </c>
    </row>
    <row r="114" spans="1:12" x14ac:dyDescent="0.35">
      <c r="A114">
        <v>6174669</v>
      </c>
      <c r="B114" t="s">
        <v>249</v>
      </c>
      <c r="C114">
        <v>24</v>
      </c>
      <c r="D114" t="s">
        <v>23</v>
      </c>
      <c r="E114" t="s">
        <v>89</v>
      </c>
      <c r="F114" t="s">
        <v>250</v>
      </c>
      <c r="G114" t="s">
        <v>20</v>
      </c>
      <c r="H114" t="s">
        <v>91</v>
      </c>
      <c r="I114" s="1">
        <v>7720403</v>
      </c>
      <c r="J114" s="2">
        <v>45717</v>
      </c>
      <c r="K114">
        <v>8582334567896</v>
      </c>
      <c r="L114" t="str" cm="1">
        <f t="array" ref="L114">_xlfn.IFS(LEN(K114)&lt;=9,"No Palsu",LEN(K114)&lt;=12,"No Asli",LEN(K114)&gt;12,"No Palsu")</f>
        <v>No Palsu</v>
      </c>
    </row>
    <row r="115" spans="1:12" x14ac:dyDescent="0.35">
      <c r="A115">
        <v>6257928</v>
      </c>
      <c r="B115" t="s">
        <v>251</v>
      </c>
      <c r="C115">
        <v>34</v>
      </c>
      <c r="D115" t="s">
        <v>12</v>
      </c>
      <c r="E115" t="s">
        <v>59</v>
      </c>
      <c r="F115" t="s">
        <v>252</v>
      </c>
      <c r="G115" t="s">
        <v>15</v>
      </c>
      <c r="H115" t="s">
        <v>61</v>
      </c>
      <c r="I115" s="1">
        <v>2134152</v>
      </c>
      <c r="J115" s="2">
        <v>45717</v>
      </c>
      <c r="K115">
        <v>8213456789</v>
      </c>
      <c r="L115" t="str" cm="1">
        <f t="array" ref="L115">_xlfn.IFS(LEN(K115)&lt;=9,"No Palsu",LEN(K115)&lt;=12,"No Asli",LEN(K115)&gt;12,"No Palsu")</f>
        <v>No Asli</v>
      </c>
    </row>
    <row r="116" spans="1:12" x14ac:dyDescent="0.35">
      <c r="A116">
        <v>6257928</v>
      </c>
      <c r="B116" t="s">
        <v>251</v>
      </c>
      <c r="C116">
        <v>34</v>
      </c>
      <c r="D116" t="s">
        <v>12</v>
      </c>
      <c r="E116" t="s">
        <v>44</v>
      </c>
      <c r="F116" t="s">
        <v>253</v>
      </c>
      <c r="G116" t="s">
        <v>15</v>
      </c>
      <c r="H116" t="s">
        <v>47</v>
      </c>
      <c r="I116" s="1">
        <v>5453383</v>
      </c>
      <c r="J116" s="2">
        <v>45809</v>
      </c>
      <c r="K116">
        <v>8221907561</v>
      </c>
      <c r="L116" t="str" cm="1">
        <f t="array" ref="L116">_xlfn.IFS(LEN(K116)&lt;=9,"No Palsu",LEN(K116)&lt;=12,"No Asli",LEN(K116)&gt;12,"No Palsu")</f>
        <v>No Asli</v>
      </c>
    </row>
    <row r="117" spans="1:12" x14ac:dyDescent="0.35">
      <c r="A117">
        <v>6265976</v>
      </c>
      <c r="B117" t="s">
        <v>254</v>
      </c>
      <c r="C117">
        <v>21</v>
      </c>
      <c r="D117" t="s">
        <v>12</v>
      </c>
      <c r="E117" t="s">
        <v>27</v>
      </c>
      <c r="F117" t="s">
        <v>255</v>
      </c>
      <c r="G117" t="s">
        <v>20</v>
      </c>
      <c r="H117" t="s">
        <v>29</v>
      </c>
      <c r="I117" s="1">
        <v>7094225</v>
      </c>
      <c r="J117" s="2">
        <v>45839</v>
      </c>
      <c r="K117">
        <v>81134567888</v>
      </c>
      <c r="L117" t="str" cm="1">
        <f t="array" ref="L117">_xlfn.IFS(LEN(K117)&lt;=9,"No Palsu",LEN(K117)&lt;=12,"No Asli",LEN(K117)&gt;12,"No Palsu")</f>
        <v>No Asli</v>
      </c>
    </row>
    <row r="118" spans="1:12" x14ac:dyDescent="0.35">
      <c r="A118">
        <v>6265976</v>
      </c>
      <c r="B118" t="s">
        <v>254</v>
      </c>
      <c r="C118">
        <v>21</v>
      </c>
      <c r="D118" t="s">
        <v>12</v>
      </c>
      <c r="E118" t="s">
        <v>83</v>
      </c>
      <c r="F118" t="s">
        <v>256</v>
      </c>
      <c r="G118" t="s">
        <v>20</v>
      </c>
      <c r="H118" t="s">
        <v>85</v>
      </c>
      <c r="I118" s="1">
        <v>4913275</v>
      </c>
      <c r="J118" s="2">
        <v>45870</v>
      </c>
      <c r="K118">
        <v>8083421567892</v>
      </c>
      <c r="L118" t="str" cm="1">
        <f t="array" ref="L118">_xlfn.IFS(LEN(K118)&lt;=9,"No Palsu",LEN(K118)&lt;=12,"No Asli",LEN(K118)&gt;12,"No Palsu")</f>
        <v>No Palsu</v>
      </c>
    </row>
    <row r="119" spans="1:12" x14ac:dyDescent="0.35">
      <c r="A119">
        <v>6451744</v>
      </c>
      <c r="B119" t="s">
        <v>257</v>
      </c>
      <c r="C119">
        <v>24</v>
      </c>
      <c r="D119" t="s">
        <v>23</v>
      </c>
      <c r="E119" t="s">
        <v>89</v>
      </c>
      <c r="F119" t="s">
        <v>258</v>
      </c>
      <c r="G119" t="s">
        <v>20</v>
      </c>
      <c r="H119" t="s">
        <v>91</v>
      </c>
      <c r="I119" s="1">
        <v>1748405</v>
      </c>
      <c r="J119" s="2">
        <v>45901</v>
      </c>
      <c r="K119">
        <v>81134566</v>
      </c>
      <c r="L119" t="str" cm="1">
        <f t="array" ref="L119">_xlfn.IFS(LEN(K119)&lt;=9,"No Palsu",LEN(K119)&lt;=12,"No Asli",LEN(K119)&gt;12,"No Palsu")</f>
        <v>No Palsu</v>
      </c>
    </row>
    <row r="120" spans="1:12" x14ac:dyDescent="0.35">
      <c r="A120">
        <v>6507231</v>
      </c>
      <c r="B120" t="s">
        <v>259</v>
      </c>
      <c r="C120">
        <v>37</v>
      </c>
      <c r="D120" t="s">
        <v>12</v>
      </c>
      <c r="E120" t="s">
        <v>44</v>
      </c>
      <c r="F120" t="s">
        <v>260</v>
      </c>
      <c r="G120" t="s">
        <v>25</v>
      </c>
      <c r="H120" t="s">
        <v>47</v>
      </c>
      <c r="I120" s="1">
        <v>6485725</v>
      </c>
      <c r="J120" s="2">
        <v>45931</v>
      </c>
      <c r="K120">
        <v>82134527811</v>
      </c>
      <c r="L120" t="str" cm="1">
        <f t="array" ref="L120">_xlfn.IFS(LEN(K120)&lt;=9,"No Palsu",LEN(K120)&lt;=12,"No Asli",LEN(K120)&gt;12,"No Palsu")</f>
        <v>No Asli</v>
      </c>
    </row>
    <row r="121" spans="1:12" x14ac:dyDescent="0.35">
      <c r="A121">
        <v>6507230</v>
      </c>
      <c r="B121" t="s">
        <v>261</v>
      </c>
      <c r="C121">
        <v>37</v>
      </c>
      <c r="D121" t="s">
        <v>12</v>
      </c>
      <c r="E121" t="s">
        <v>31</v>
      </c>
      <c r="F121" t="s">
        <v>262</v>
      </c>
      <c r="G121" t="s">
        <v>25</v>
      </c>
      <c r="H121" t="s">
        <v>33</v>
      </c>
      <c r="I121" s="1">
        <v>2295636</v>
      </c>
      <c r="J121" s="2">
        <v>45809</v>
      </c>
      <c r="K121">
        <v>811322674</v>
      </c>
      <c r="L121" t="str" cm="1">
        <f t="array" ref="L121">_xlfn.IFS(LEN(K121)&lt;=9,"No Palsu",LEN(K121)&lt;=12,"No Asli",LEN(K121)&gt;12,"No Palsu")</f>
        <v>No Palsu</v>
      </c>
    </row>
    <row r="122" spans="1:12" x14ac:dyDescent="0.35">
      <c r="A122">
        <v>6622851</v>
      </c>
      <c r="B122" t="s">
        <v>263</v>
      </c>
      <c r="C122">
        <v>33</v>
      </c>
      <c r="D122" t="s">
        <v>12</v>
      </c>
      <c r="E122" t="s">
        <v>77</v>
      </c>
      <c r="F122" t="s">
        <v>264</v>
      </c>
      <c r="G122" t="s">
        <v>15</v>
      </c>
      <c r="H122" t="s">
        <v>79</v>
      </c>
      <c r="I122" s="1">
        <v>3698550</v>
      </c>
      <c r="J122" s="2">
        <v>45839</v>
      </c>
      <c r="K122">
        <v>8582334567896</v>
      </c>
      <c r="L122" t="str" cm="1">
        <f t="array" ref="L122">_xlfn.IFS(LEN(K122)&lt;=9,"No Palsu",LEN(K122)&lt;=12,"No Asli",LEN(K122)&gt;12,"No Palsu")</f>
        <v>No Palsu</v>
      </c>
    </row>
    <row r="123" spans="1:12" x14ac:dyDescent="0.35">
      <c r="A123">
        <v>6628014</v>
      </c>
      <c r="B123" t="s">
        <v>265</v>
      </c>
      <c r="C123">
        <v>18</v>
      </c>
      <c r="D123" t="s">
        <v>12</v>
      </c>
      <c r="E123" t="s">
        <v>89</v>
      </c>
      <c r="F123" t="s">
        <v>266</v>
      </c>
      <c r="G123" t="s">
        <v>46</v>
      </c>
      <c r="H123" t="s">
        <v>91</v>
      </c>
      <c r="I123" s="1">
        <v>3260240</v>
      </c>
      <c r="J123" s="2">
        <v>45870</v>
      </c>
      <c r="K123">
        <v>8213456789</v>
      </c>
      <c r="L123" t="str" cm="1">
        <f t="array" ref="L123">_xlfn.IFS(LEN(K123)&lt;=9,"No Palsu",LEN(K123)&lt;=12,"No Asli",LEN(K123)&gt;12,"No Palsu")</f>
        <v>No Asli</v>
      </c>
    </row>
    <row r="124" spans="1:12" x14ac:dyDescent="0.35">
      <c r="A124">
        <v>6653355</v>
      </c>
      <c r="B124" t="s">
        <v>267</v>
      </c>
      <c r="C124">
        <v>60</v>
      </c>
      <c r="D124" t="s">
        <v>12</v>
      </c>
      <c r="E124" t="s">
        <v>77</v>
      </c>
      <c r="F124" t="s">
        <v>268</v>
      </c>
      <c r="G124" t="s">
        <v>40</v>
      </c>
      <c r="H124" t="s">
        <v>79</v>
      </c>
      <c r="I124" s="1">
        <v>4210192</v>
      </c>
      <c r="J124" s="2">
        <v>45901</v>
      </c>
      <c r="K124">
        <v>8221907561</v>
      </c>
      <c r="L124" t="str" cm="1">
        <f t="array" ref="L124">_xlfn.IFS(LEN(K124)&lt;=9,"No Palsu",LEN(K124)&lt;=12,"No Asli",LEN(K124)&gt;12,"No Palsu")</f>
        <v>No Asli</v>
      </c>
    </row>
    <row r="125" spans="1:12" x14ac:dyDescent="0.35">
      <c r="A125">
        <v>6674816</v>
      </c>
      <c r="B125" t="s">
        <v>269</v>
      </c>
      <c r="C125">
        <v>21</v>
      </c>
      <c r="D125" t="s">
        <v>12</v>
      </c>
      <c r="E125" t="s">
        <v>55</v>
      </c>
      <c r="F125" t="s">
        <v>270</v>
      </c>
      <c r="G125" t="s">
        <v>20</v>
      </c>
      <c r="H125" t="s">
        <v>57</v>
      </c>
      <c r="I125" s="1">
        <v>5952926</v>
      </c>
      <c r="J125" s="2">
        <v>45931</v>
      </c>
      <c r="K125">
        <v>81134567888</v>
      </c>
      <c r="L125" t="str" cm="1">
        <f t="array" ref="L125">_xlfn.IFS(LEN(K125)&lt;=9,"No Palsu",LEN(K125)&lt;=12,"No Asli",LEN(K125)&gt;12,"No Palsu")</f>
        <v>No Asli</v>
      </c>
    </row>
    <row r="126" spans="1:12" x14ac:dyDescent="0.35">
      <c r="A126">
        <v>6693300</v>
      </c>
      <c r="B126" t="s">
        <v>271</v>
      </c>
      <c r="C126">
        <v>48</v>
      </c>
      <c r="D126" t="s">
        <v>23</v>
      </c>
      <c r="E126" t="s">
        <v>44</v>
      </c>
      <c r="F126" t="s">
        <v>272</v>
      </c>
      <c r="G126" t="s">
        <v>25</v>
      </c>
      <c r="H126" t="s">
        <v>47</v>
      </c>
      <c r="I126" s="1">
        <v>1066247</v>
      </c>
      <c r="J126" s="2">
        <v>45689</v>
      </c>
      <c r="K126">
        <v>8083421567892</v>
      </c>
      <c r="L126" t="str" cm="1">
        <f t="array" ref="L126">_xlfn.IFS(LEN(K126)&lt;=9,"No Palsu",LEN(K126)&lt;=12,"No Asli",LEN(K126)&gt;12,"No Palsu")</f>
        <v>No Palsu</v>
      </c>
    </row>
    <row r="127" spans="1:12" x14ac:dyDescent="0.35">
      <c r="A127">
        <v>6713678</v>
      </c>
      <c r="B127" t="s">
        <v>273</v>
      </c>
      <c r="C127">
        <v>29</v>
      </c>
      <c r="D127" t="s">
        <v>12</v>
      </c>
      <c r="E127" t="s">
        <v>27</v>
      </c>
      <c r="F127" t="s">
        <v>274</v>
      </c>
      <c r="G127" t="s">
        <v>15</v>
      </c>
      <c r="H127" t="s">
        <v>29</v>
      </c>
      <c r="I127" s="1">
        <v>6517609</v>
      </c>
      <c r="J127" s="2">
        <v>45717</v>
      </c>
      <c r="K127">
        <v>81134566</v>
      </c>
      <c r="L127" t="str" cm="1">
        <f t="array" ref="L127">_xlfn.IFS(LEN(K127)&lt;=9,"No Palsu",LEN(K127)&lt;=12,"No Asli",LEN(K127)&gt;12,"No Palsu")</f>
        <v>No Palsu</v>
      </c>
    </row>
    <row r="128" spans="1:12" x14ac:dyDescent="0.35">
      <c r="A128">
        <v>6713673</v>
      </c>
      <c r="B128" t="s">
        <v>275</v>
      </c>
      <c r="C128">
        <v>29</v>
      </c>
      <c r="D128" t="s">
        <v>12</v>
      </c>
      <c r="E128" t="s">
        <v>55</v>
      </c>
      <c r="F128" t="s">
        <v>276</v>
      </c>
      <c r="G128" t="s">
        <v>15</v>
      </c>
      <c r="H128" t="s">
        <v>57</v>
      </c>
      <c r="I128" s="1">
        <v>9460437</v>
      </c>
      <c r="J128" s="2">
        <v>45748</v>
      </c>
      <c r="K128">
        <v>82134527811</v>
      </c>
      <c r="L128" t="str" cm="1">
        <f t="array" ref="L128">_xlfn.IFS(LEN(K128)&lt;=9,"No Palsu",LEN(K128)&lt;=12,"No Asli",LEN(K128)&gt;12,"No Palsu")</f>
        <v>No Asli</v>
      </c>
    </row>
    <row r="129" spans="1:12" x14ac:dyDescent="0.35">
      <c r="A129">
        <v>6714157</v>
      </c>
      <c r="B129" t="s">
        <v>277</v>
      </c>
      <c r="C129">
        <v>50</v>
      </c>
      <c r="D129" t="s">
        <v>23</v>
      </c>
      <c r="E129" t="s">
        <v>27</v>
      </c>
      <c r="F129" t="s">
        <v>278</v>
      </c>
      <c r="G129" t="s">
        <v>25</v>
      </c>
      <c r="H129" t="s">
        <v>29</v>
      </c>
      <c r="I129" s="1">
        <v>2904193</v>
      </c>
      <c r="J129" s="2">
        <v>45778</v>
      </c>
      <c r="K129">
        <v>811322674</v>
      </c>
      <c r="L129" t="str" cm="1">
        <f t="array" ref="L129">_xlfn.IFS(LEN(K129)&lt;=9,"No Palsu",LEN(K129)&lt;=12,"No Asli",LEN(K129)&gt;12,"No Palsu")</f>
        <v>No Palsu</v>
      </c>
    </row>
    <row r="130" spans="1:12" x14ac:dyDescent="0.35">
      <c r="A130">
        <v>6762655</v>
      </c>
      <c r="B130" t="s">
        <v>279</v>
      </c>
      <c r="C130">
        <v>18</v>
      </c>
      <c r="D130" t="s">
        <v>23</v>
      </c>
      <c r="E130" t="s">
        <v>44</v>
      </c>
      <c r="F130" t="s">
        <v>280</v>
      </c>
      <c r="G130" t="s">
        <v>46</v>
      </c>
      <c r="H130" t="s">
        <v>47</v>
      </c>
      <c r="I130" s="1">
        <v>4681385</v>
      </c>
      <c r="J130" s="2">
        <v>45809</v>
      </c>
      <c r="K130">
        <v>8582334567896</v>
      </c>
      <c r="L130" t="str" cm="1">
        <f t="array" ref="L130">_xlfn.IFS(LEN(K130)&lt;=9,"No Palsu",LEN(K130)&lt;=12,"No Asli",LEN(K130)&gt;12,"No Palsu")</f>
        <v>No Palsu</v>
      </c>
    </row>
    <row r="131" spans="1:12" x14ac:dyDescent="0.35">
      <c r="A131">
        <v>6800195</v>
      </c>
      <c r="B131" t="s">
        <v>281</v>
      </c>
      <c r="C131">
        <v>43</v>
      </c>
      <c r="D131" t="s">
        <v>23</v>
      </c>
      <c r="E131" t="s">
        <v>35</v>
      </c>
      <c r="F131" t="s">
        <v>282</v>
      </c>
      <c r="G131" t="s">
        <v>25</v>
      </c>
      <c r="H131" t="s">
        <v>37</v>
      </c>
      <c r="I131" s="1">
        <v>2747837</v>
      </c>
      <c r="J131" s="2">
        <v>45839</v>
      </c>
      <c r="K131">
        <v>8213456789</v>
      </c>
      <c r="L131" t="str" cm="1">
        <f t="array" ref="L131">_xlfn.IFS(LEN(K131)&lt;=9,"No Palsu",LEN(K131)&lt;=12,"No Asli",LEN(K131)&gt;12,"No Palsu")</f>
        <v>No Asli</v>
      </c>
    </row>
    <row r="132" spans="1:12" x14ac:dyDescent="0.35">
      <c r="A132">
        <v>6802871</v>
      </c>
      <c r="B132" t="s">
        <v>41</v>
      </c>
      <c r="C132">
        <v>19</v>
      </c>
      <c r="D132" t="s">
        <v>23</v>
      </c>
      <c r="E132" t="s">
        <v>77</v>
      </c>
      <c r="F132" t="s">
        <v>283</v>
      </c>
      <c r="G132" t="s">
        <v>46</v>
      </c>
      <c r="H132" t="s">
        <v>79</v>
      </c>
      <c r="I132" s="1">
        <v>6501522</v>
      </c>
      <c r="J132" s="2">
        <v>45870</v>
      </c>
      <c r="K132">
        <v>8221907561</v>
      </c>
      <c r="L132" t="str" cm="1">
        <f t="array" ref="L132">_xlfn.IFS(LEN(K132)&lt;=9,"No Palsu",LEN(K132)&lt;=12,"No Asli",LEN(K132)&gt;12,"No Palsu")</f>
        <v>No Asli</v>
      </c>
    </row>
    <row r="133" spans="1:12" x14ac:dyDescent="0.35">
      <c r="A133">
        <v>6854483</v>
      </c>
      <c r="B133" t="s">
        <v>284</v>
      </c>
      <c r="C133">
        <v>51</v>
      </c>
      <c r="D133" t="s">
        <v>23</v>
      </c>
      <c r="E133" t="s">
        <v>59</v>
      </c>
      <c r="F133" t="s">
        <v>285</v>
      </c>
      <c r="G133" t="s">
        <v>40</v>
      </c>
      <c r="H133" t="s">
        <v>61</v>
      </c>
      <c r="I133" s="1">
        <v>2851172</v>
      </c>
      <c r="J133" s="2">
        <v>45901</v>
      </c>
      <c r="K133">
        <v>81134567888</v>
      </c>
      <c r="L133" t="str" cm="1">
        <f t="array" ref="L133">_xlfn.IFS(LEN(K133)&lt;=9,"No Palsu",LEN(K133)&lt;=12,"No Asli",LEN(K133)&gt;12,"No Palsu")</f>
        <v>No Asli</v>
      </c>
    </row>
    <row r="134" spans="1:12" x14ac:dyDescent="0.35">
      <c r="A134">
        <v>7046122</v>
      </c>
      <c r="B134" t="s">
        <v>286</v>
      </c>
      <c r="C134">
        <v>44</v>
      </c>
      <c r="D134" t="s">
        <v>23</v>
      </c>
      <c r="E134" t="s">
        <v>13</v>
      </c>
      <c r="F134" t="s">
        <v>287</v>
      </c>
      <c r="G134" t="s">
        <v>25</v>
      </c>
      <c r="H134" t="s">
        <v>16</v>
      </c>
      <c r="I134" s="1">
        <v>8870588</v>
      </c>
      <c r="J134" s="2">
        <v>45931</v>
      </c>
      <c r="K134">
        <v>8083421567892</v>
      </c>
      <c r="L134" t="str" cm="1">
        <f t="array" ref="L134">_xlfn.IFS(LEN(K134)&lt;=9,"No Palsu",LEN(K134)&lt;=12,"No Asli",LEN(K134)&gt;12,"No Palsu")</f>
        <v>No Palsu</v>
      </c>
    </row>
    <row r="135" spans="1:12" x14ac:dyDescent="0.35">
      <c r="A135">
        <v>7065135</v>
      </c>
      <c r="B135" t="s">
        <v>288</v>
      </c>
      <c r="C135">
        <v>22</v>
      </c>
      <c r="D135" t="s">
        <v>23</v>
      </c>
      <c r="E135" t="s">
        <v>55</v>
      </c>
      <c r="F135" t="s">
        <v>289</v>
      </c>
      <c r="G135" t="s">
        <v>20</v>
      </c>
      <c r="H135" t="s">
        <v>57</v>
      </c>
      <c r="I135" s="1">
        <v>5466766</v>
      </c>
      <c r="J135" s="2">
        <v>45962</v>
      </c>
      <c r="K135">
        <v>81134566</v>
      </c>
      <c r="L135" t="str" cm="1">
        <f t="array" ref="L135">_xlfn.IFS(LEN(K135)&lt;=9,"No Palsu",LEN(K135)&lt;=12,"No Asli",LEN(K135)&gt;12,"No Palsu")</f>
        <v>No Palsu</v>
      </c>
    </row>
    <row r="136" spans="1:12" x14ac:dyDescent="0.35">
      <c r="A136">
        <v>7105047</v>
      </c>
      <c r="B136" t="s">
        <v>290</v>
      </c>
      <c r="C136">
        <v>26</v>
      </c>
      <c r="D136" t="s">
        <v>23</v>
      </c>
      <c r="E136" t="s">
        <v>44</v>
      </c>
      <c r="F136" t="s">
        <v>291</v>
      </c>
      <c r="G136" t="s">
        <v>15</v>
      </c>
      <c r="H136" t="s">
        <v>47</v>
      </c>
      <c r="I136" s="1">
        <v>2830264</v>
      </c>
      <c r="J136" s="2">
        <v>45992</v>
      </c>
      <c r="K136">
        <v>82134527811</v>
      </c>
      <c r="L136" t="str" cm="1">
        <f t="array" ref="L136">_xlfn.IFS(LEN(K136)&lt;=9,"No Palsu",LEN(K136)&lt;=12,"No Asli",LEN(K136)&gt;12,"No Palsu")</f>
        <v>No Asli</v>
      </c>
    </row>
    <row r="137" spans="1:12" x14ac:dyDescent="0.35">
      <c r="A137">
        <v>7105043</v>
      </c>
      <c r="B137" t="s">
        <v>292</v>
      </c>
      <c r="C137">
        <v>26</v>
      </c>
      <c r="D137" t="s">
        <v>23</v>
      </c>
      <c r="E137" t="s">
        <v>13</v>
      </c>
      <c r="F137" t="s">
        <v>293</v>
      </c>
      <c r="G137" t="s">
        <v>15</v>
      </c>
      <c r="H137" t="s">
        <v>16</v>
      </c>
      <c r="I137" s="1">
        <v>1271120</v>
      </c>
      <c r="J137" s="2">
        <v>45658</v>
      </c>
      <c r="K137">
        <v>811322674</v>
      </c>
      <c r="L137" t="str" cm="1">
        <f t="array" ref="L137">_xlfn.IFS(LEN(K137)&lt;=9,"No Palsu",LEN(K137)&lt;=12,"No Asli",LEN(K137)&gt;12,"No Palsu")</f>
        <v>No Palsu</v>
      </c>
    </row>
    <row r="138" spans="1:12" x14ac:dyDescent="0.35">
      <c r="A138">
        <v>7107439</v>
      </c>
      <c r="B138" t="s">
        <v>294</v>
      </c>
      <c r="C138">
        <v>27</v>
      </c>
      <c r="D138" t="s">
        <v>23</v>
      </c>
      <c r="E138" t="s">
        <v>89</v>
      </c>
      <c r="F138" t="s">
        <v>295</v>
      </c>
      <c r="G138" t="s">
        <v>15</v>
      </c>
      <c r="H138" t="s">
        <v>91</v>
      </c>
      <c r="I138" s="1">
        <v>2155120</v>
      </c>
      <c r="J138" s="2">
        <v>45689</v>
      </c>
      <c r="K138">
        <v>8582334567896</v>
      </c>
      <c r="L138" t="str" cm="1">
        <f t="array" ref="L138">_xlfn.IFS(LEN(K138)&lt;=9,"No Palsu",LEN(K138)&lt;=12,"No Asli",LEN(K138)&gt;12,"No Palsu")</f>
        <v>No Palsu</v>
      </c>
    </row>
    <row r="139" spans="1:12" x14ac:dyDescent="0.35">
      <c r="A139">
        <v>7107437</v>
      </c>
      <c r="B139" t="s">
        <v>296</v>
      </c>
      <c r="C139">
        <v>54</v>
      </c>
      <c r="D139" t="s">
        <v>23</v>
      </c>
      <c r="E139" t="s">
        <v>55</v>
      </c>
      <c r="F139" t="s">
        <v>297</v>
      </c>
      <c r="G139" t="s">
        <v>40</v>
      </c>
      <c r="H139" t="s">
        <v>57</v>
      </c>
      <c r="I139" s="1">
        <v>5371956</v>
      </c>
      <c r="J139" s="2">
        <v>45717</v>
      </c>
      <c r="K139">
        <v>8213456789</v>
      </c>
      <c r="L139" t="str" cm="1">
        <f t="array" ref="L139">_xlfn.IFS(LEN(K139)&lt;=9,"No Palsu",LEN(K139)&lt;=12,"No Asli",LEN(K139)&gt;12,"No Palsu")</f>
        <v>No Asli</v>
      </c>
    </row>
    <row r="140" spans="1:12" x14ac:dyDescent="0.35">
      <c r="A140">
        <v>7119949</v>
      </c>
      <c r="B140" t="s">
        <v>298</v>
      </c>
      <c r="C140">
        <v>15</v>
      </c>
      <c r="D140" t="s">
        <v>12</v>
      </c>
      <c r="E140" t="s">
        <v>139</v>
      </c>
      <c r="F140" t="s">
        <v>299</v>
      </c>
      <c r="G140" t="s">
        <v>46</v>
      </c>
      <c r="H140" t="s">
        <v>141</v>
      </c>
      <c r="I140" s="1">
        <v>5513479</v>
      </c>
      <c r="J140" s="2">
        <v>45748</v>
      </c>
      <c r="K140">
        <v>8221907561</v>
      </c>
      <c r="L140" t="str" cm="1">
        <f t="array" ref="L140">_xlfn.IFS(LEN(K140)&lt;=9,"No Palsu",LEN(K140)&lt;=12,"No Asli",LEN(K140)&gt;12,"No Palsu")</f>
        <v>No Asli</v>
      </c>
    </row>
    <row r="141" spans="1:12" x14ac:dyDescent="0.35">
      <c r="A141">
        <v>7207670</v>
      </c>
      <c r="B141" t="s">
        <v>300</v>
      </c>
      <c r="C141">
        <v>59</v>
      </c>
      <c r="D141" t="s">
        <v>23</v>
      </c>
      <c r="E141" t="s">
        <v>59</v>
      </c>
      <c r="F141" t="s">
        <v>301</v>
      </c>
      <c r="G141" t="s">
        <v>40</v>
      </c>
      <c r="H141" t="s">
        <v>61</v>
      </c>
      <c r="I141" s="1">
        <v>6859567</v>
      </c>
      <c r="J141" s="2">
        <v>45778</v>
      </c>
      <c r="K141">
        <v>81134567888</v>
      </c>
      <c r="L141" t="str" cm="1">
        <f t="array" ref="L141">_xlfn.IFS(LEN(K141)&lt;=9,"No Palsu",LEN(K141)&lt;=12,"No Asli",LEN(K141)&gt;12,"No Palsu")</f>
        <v>No Asli</v>
      </c>
    </row>
    <row r="142" spans="1:12" x14ac:dyDescent="0.35">
      <c r="A142">
        <v>7262729</v>
      </c>
      <c r="B142" t="s">
        <v>302</v>
      </c>
      <c r="C142">
        <v>27</v>
      </c>
      <c r="D142" t="s">
        <v>12</v>
      </c>
      <c r="E142" t="s">
        <v>27</v>
      </c>
      <c r="F142" t="s">
        <v>303</v>
      </c>
      <c r="G142" t="s">
        <v>15</v>
      </c>
      <c r="H142" t="s">
        <v>29</v>
      </c>
      <c r="I142" s="1">
        <v>4598331</v>
      </c>
      <c r="J142" s="2">
        <v>45809</v>
      </c>
      <c r="K142">
        <v>8083421567892</v>
      </c>
      <c r="L142" t="str" cm="1">
        <f t="array" ref="L142">_xlfn.IFS(LEN(K142)&lt;=9,"No Palsu",LEN(K142)&lt;=12,"No Asli",LEN(K142)&gt;12,"No Palsu")</f>
        <v>No Palsu</v>
      </c>
    </row>
    <row r="143" spans="1:12" x14ac:dyDescent="0.35">
      <c r="A143">
        <v>7272250</v>
      </c>
      <c r="B143" t="s">
        <v>304</v>
      </c>
      <c r="C143">
        <v>55</v>
      </c>
      <c r="D143" t="s">
        <v>23</v>
      </c>
      <c r="E143" t="s">
        <v>63</v>
      </c>
      <c r="F143" t="s">
        <v>305</v>
      </c>
      <c r="G143" t="s">
        <v>40</v>
      </c>
      <c r="H143" t="s">
        <v>65</v>
      </c>
      <c r="I143" s="1">
        <v>5242247</v>
      </c>
      <c r="J143" s="2">
        <v>45839</v>
      </c>
      <c r="K143">
        <v>81134566</v>
      </c>
      <c r="L143" t="str" cm="1">
        <f t="array" ref="L143">_xlfn.IFS(LEN(K143)&lt;=9,"No Palsu",LEN(K143)&lt;=12,"No Asli",LEN(K143)&gt;12,"No Palsu")</f>
        <v>No Palsu</v>
      </c>
    </row>
    <row r="144" spans="1:12" x14ac:dyDescent="0.35">
      <c r="A144">
        <v>7435628</v>
      </c>
      <c r="B144" t="s">
        <v>306</v>
      </c>
      <c r="C144">
        <v>17</v>
      </c>
      <c r="D144" t="s">
        <v>12</v>
      </c>
      <c r="E144" t="s">
        <v>31</v>
      </c>
      <c r="F144" t="s">
        <v>307</v>
      </c>
      <c r="G144" t="s">
        <v>46</v>
      </c>
      <c r="H144" t="s">
        <v>33</v>
      </c>
      <c r="I144" s="1">
        <v>5395102</v>
      </c>
      <c r="J144" s="2">
        <v>45870</v>
      </c>
      <c r="K144">
        <v>82134527811</v>
      </c>
      <c r="L144" t="str" cm="1">
        <f t="array" ref="L144">_xlfn.IFS(LEN(K144)&lt;=9,"No Palsu",LEN(K144)&lt;=12,"No Asli",LEN(K144)&gt;12,"No Palsu")</f>
        <v>No Asli</v>
      </c>
    </row>
    <row r="145" spans="1:12" x14ac:dyDescent="0.35">
      <c r="A145">
        <v>7586399</v>
      </c>
      <c r="B145" t="s">
        <v>308</v>
      </c>
      <c r="C145">
        <v>26</v>
      </c>
      <c r="D145" t="s">
        <v>23</v>
      </c>
      <c r="E145" t="s">
        <v>63</v>
      </c>
      <c r="F145" t="s">
        <v>309</v>
      </c>
      <c r="G145" t="s">
        <v>15</v>
      </c>
      <c r="H145" t="s">
        <v>65</v>
      </c>
      <c r="I145" s="1">
        <v>6382851</v>
      </c>
      <c r="J145" s="2">
        <v>45901</v>
      </c>
      <c r="K145">
        <v>811322674</v>
      </c>
      <c r="L145" t="str" cm="1">
        <f t="array" ref="L145">_xlfn.IFS(LEN(K145)&lt;=9,"No Palsu",LEN(K145)&lt;=12,"No Asli",LEN(K145)&gt;12,"No Palsu")</f>
        <v>No Palsu</v>
      </c>
    </row>
    <row r="146" spans="1:12" x14ac:dyDescent="0.35">
      <c r="A146">
        <v>7614009</v>
      </c>
      <c r="B146" t="s">
        <v>310</v>
      </c>
      <c r="C146">
        <v>17</v>
      </c>
      <c r="D146" t="s">
        <v>23</v>
      </c>
      <c r="E146" t="s">
        <v>59</v>
      </c>
      <c r="F146" t="s">
        <v>311</v>
      </c>
      <c r="G146" t="s">
        <v>46</v>
      </c>
      <c r="H146" t="s">
        <v>61</v>
      </c>
      <c r="I146" s="1">
        <v>2800867</v>
      </c>
      <c r="J146" s="2">
        <v>45931</v>
      </c>
      <c r="K146">
        <v>8582334567896</v>
      </c>
      <c r="L146" t="str" cm="1">
        <f t="array" ref="L146">_xlfn.IFS(LEN(K146)&lt;=9,"No Palsu",LEN(K146)&lt;=12,"No Asli",LEN(K146)&gt;12,"No Palsu")</f>
        <v>No Palsu</v>
      </c>
    </row>
    <row r="147" spans="1:12" x14ac:dyDescent="0.35">
      <c r="A147">
        <v>7720949</v>
      </c>
      <c r="B147" t="s">
        <v>312</v>
      </c>
      <c r="C147">
        <v>47</v>
      </c>
      <c r="D147" t="s">
        <v>12</v>
      </c>
      <c r="E147" t="s">
        <v>83</v>
      </c>
      <c r="F147" t="s">
        <v>313</v>
      </c>
      <c r="G147" t="s">
        <v>25</v>
      </c>
      <c r="H147" t="s">
        <v>85</v>
      </c>
      <c r="I147" s="1">
        <v>8397680</v>
      </c>
      <c r="J147" s="2">
        <v>45962</v>
      </c>
      <c r="K147">
        <v>8213456789</v>
      </c>
      <c r="L147" t="str" cm="1">
        <f t="array" ref="L147">_xlfn.IFS(LEN(K147)&lt;=9,"No Palsu",LEN(K147)&lt;=12,"No Asli",LEN(K147)&gt;12,"No Palsu")</f>
        <v>No Asli</v>
      </c>
    </row>
    <row r="148" spans="1:12" x14ac:dyDescent="0.35">
      <c r="A148">
        <v>7720949</v>
      </c>
      <c r="B148" t="s">
        <v>312</v>
      </c>
      <c r="C148">
        <v>47</v>
      </c>
      <c r="D148" t="s">
        <v>12</v>
      </c>
      <c r="E148" t="s">
        <v>83</v>
      </c>
      <c r="F148" t="s">
        <v>313</v>
      </c>
      <c r="G148" t="s">
        <v>25</v>
      </c>
      <c r="H148" t="s">
        <v>85</v>
      </c>
      <c r="I148" s="1">
        <v>8397680</v>
      </c>
      <c r="J148" s="2">
        <v>45992</v>
      </c>
      <c r="K148">
        <v>8221907561</v>
      </c>
      <c r="L148" t="str" cm="1">
        <f t="array" ref="L148">_xlfn.IFS(LEN(K148)&lt;=9,"No Palsu",LEN(K148)&lt;=12,"No Asli",LEN(K148)&gt;12,"No Palsu")</f>
        <v>No Asli</v>
      </c>
    </row>
    <row r="149" spans="1:12" x14ac:dyDescent="0.35">
      <c r="A149">
        <v>7736390</v>
      </c>
      <c r="B149" t="s">
        <v>314</v>
      </c>
      <c r="C149">
        <v>61</v>
      </c>
      <c r="D149" t="s">
        <v>12</v>
      </c>
      <c r="E149" t="s">
        <v>89</v>
      </c>
      <c r="F149" t="s">
        <v>315</v>
      </c>
      <c r="G149" t="s">
        <v>40</v>
      </c>
      <c r="H149" t="s">
        <v>91</v>
      </c>
      <c r="I149" s="1">
        <v>1867803</v>
      </c>
      <c r="J149" s="2">
        <v>45717</v>
      </c>
      <c r="K149">
        <v>81134567888</v>
      </c>
      <c r="L149" t="str" cm="1">
        <f t="array" ref="L149">_xlfn.IFS(LEN(K149)&lt;=9,"No Palsu",LEN(K149)&lt;=12,"No Asli",LEN(K149)&gt;12,"No Palsu")</f>
        <v>No Asli</v>
      </c>
    </row>
    <row r="150" spans="1:12" x14ac:dyDescent="0.35">
      <c r="A150">
        <v>7768822</v>
      </c>
      <c r="B150" t="s">
        <v>316</v>
      </c>
      <c r="C150">
        <v>36</v>
      </c>
      <c r="D150" t="s">
        <v>23</v>
      </c>
      <c r="E150" t="s">
        <v>27</v>
      </c>
      <c r="F150" t="s">
        <v>317</v>
      </c>
      <c r="G150" t="s">
        <v>25</v>
      </c>
      <c r="H150" t="s">
        <v>29</v>
      </c>
      <c r="I150" s="1">
        <v>3519888</v>
      </c>
      <c r="J150" s="2">
        <v>45748</v>
      </c>
      <c r="K150">
        <v>8083421567892</v>
      </c>
      <c r="L150" t="str" cm="1">
        <f t="array" ref="L150">_xlfn.IFS(LEN(K150)&lt;=9,"No Palsu",LEN(K150)&lt;=12,"No Asli",LEN(K150)&gt;12,"No Palsu")</f>
        <v>No Palsu</v>
      </c>
    </row>
    <row r="151" spans="1:12" x14ac:dyDescent="0.35">
      <c r="A151">
        <v>7950565</v>
      </c>
      <c r="B151" t="s">
        <v>318</v>
      </c>
      <c r="C151">
        <v>51</v>
      </c>
      <c r="D151" t="s">
        <v>23</v>
      </c>
      <c r="E151" t="s">
        <v>31</v>
      </c>
      <c r="F151" t="s">
        <v>319</v>
      </c>
      <c r="G151" t="s">
        <v>40</v>
      </c>
      <c r="H151" t="s">
        <v>33</v>
      </c>
      <c r="I151" s="1">
        <v>4705052</v>
      </c>
      <c r="J151" s="2">
        <v>45717</v>
      </c>
      <c r="K151">
        <v>81134566</v>
      </c>
      <c r="L151" t="str" cm="1">
        <f t="array" ref="L151">_xlfn.IFS(LEN(K151)&lt;=9,"No Palsu",LEN(K151)&lt;=12,"No Asli",LEN(K151)&gt;12,"No Palsu")</f>
        <v>No Palsu</v>
      </c>
    </row>
    <row r="152" spans="1:12" x14ac:dyDescent="0.35">
      <c r="A152">
        <v>7967268</v>
      </c>
      <c r="B152" t="s">
        <v>320</v>
      </c>
      <c r="C152">
        <v>53</v>
      </c>
      <c r="D152" t="s">
        <v>23</v>
      </c>
      <c r="E152" t="s">
        <v>63</v>
      </c>
      <c r="F152" t="s">
        <v>321</v>
      </c>
      <c r="G152" t="s">
        <v>40</v>
      </c>
      <c r="H152" t="s">
        <v>65</v>
      </c>
      <c r="I152" s="1">
        <v>5568632</v>
      </c>
      <c r="J152" s="2">
        <v>45748</v>
      </c>
      <c r="K152">
        <v>82134527811</v>
      </c>
      <c r="L152" t="str" cm="1">
        <f t="array" ref="L152">_xlfn.IFS(LEN(K152)&lt;=9,"No Palsu",LEN(K152)&lt;=12,"No Asli",LEN(K152)&gt;12,"No Palsu")</f>
        <v>No Asli</v>
      </c>
    </row>
    <row r="153" spans="1:12" x14ac:dyDescent="0.35">
      <c r="A153">
        <v>8078818</v>
      </c>
      <c r="B153" t="s">
        <v>322</v>
      </c>
      <c r="C153">
        <v>30</v>
      </c>
      <c r="D153" t="s">
        <v>23</v>
      </c>
      <c r="E153" t="s">
        <v>63</v>
      </c>
      <c r="F153" t="s">
        <v>323</v>
      </c>
      <c r="G153" t="s">
        <v>15</v>
      </c>
      <c r="H153" t="s">
        <v>65</v>
      </c>
      <c r="I153" s="1">
        <v>6183505</v>
      </c>
      <c r="J153" s="2">
        <v>45658</v>
      </c>
      <c r="K153">
        <v>811322674</v>
      </c>
      <c r="L153" t="str" cm="1">
        <f t="array" ref="L153">_xlfn.IFS(LEN(K153)&lt;=9,"No Palsu",LEN(K153)&lt;=12,"No Asli",LEN(K153)&gt;12,"No Palsu")</f>
        <v>No Palsu</v>
      </c>
    </row>
    <row r="154" spans="1:12" x14ac:dyDescent="0.35">
      <c r="A154">
        <v>8078817</v>
      </c>
      <c r="B154" t="s">
        <v>324</v>
      </c>
      <c r="C154">
        <v>58</v>
      </c>
      <c r="D154" t="s">
        <v>23</v>
      </c>
      <c r="E154" t="s">
        <v>35</v>
      </c>
      <c r="F154" t="s">
        <v>325</v>
      </c>
      <c r="G154" t="s">
        <v>40</v>
      </c>
      <c r="H154" t="s">
        <v>37</v>
      </c>
      <c r="I154" s="1">
        <v>6797344</v>
      </c>
      <c r="J154" s="2">
        <v>45689</v>
      </c>
      <c r="K154">
        <v>8582334567896</v>
      </c>
      <c r="L154" t="str" cm="1">
        <f t="array" ref="L154">_xlfn.IFS(LEN(K154)&lt;=9,"No Palsu",LEN(K154)&lt;=12,"No Asli",LEN(K154)&gt;12,"No Palsu")</f>
        <v>No Palsu</v>
      </c>
    </row>
    <row r="155" spans="1:12" x14ac:dyDescent="0.35">
      <c r="A155">
        <v>8163195</v>
      </c>
      <c r="B155" t="s">
        <v>326</v>
      </c>
      <c r="C155">
        <v>24</v>
      </c>
      <c r="D155" t="s">
        <v>12</v>
      </c>
      <c r="E155" t="s">
        <v>13</v>
      </c>
      <c r="F155" t="s">
        <v>327</v>
      </c>
      <c r="G155" t="s">
        <v>20</v>
      </c>
      <c r="H155" t="s">
        <v>16</v>
      </c>
      <c r="I155" s="1">
        <v>1298927</v>
      </c>
      <c r="J155" s="2">
        <v>45717</v>
      </c>
      <c r="K155">
        <v>811322674</v>
      </c>
      <c r="L155" t="str" cm="1">
        <f t="array" ref="L155">_xlfn.IFS(LEN(K155)&lt;=9,"No Palsu",LEN(K155)&lt;=12,"No Asli",LEN(K155)&gt;12,"No Palsu")</f>
        <v>No Palsu</v>
      </c>
    </row>
    <row r="156" spans="1:12" x14ac:dyDescent="0.35">
      <c r="A156">
        <v>8239097</v>
      </c>
      <c r="B156" t="s">
        <v>328</v>
      </c>
      <c r="C156">
        <v>42</v>
      </c>
      <c r="D156" t="s">
        <v>23</v>
      </c>
      <c r="E156" t="s">
        <v>13</v>
      </c>
      <c r="F156" t="s">
        <v>329</v>
      </c>
      <c r="G156" t="s">
        <v>25</v>
      </c>
      <c r="H156" t="s">
        <v>16</v>
      </c>
      <c r="I156" s="1">
        <v>3532702</v>
      </c>
      <c r="J156" s="2">
        <v>45748</v>
      </c>
      <c r="K156">
        <v>8582334567896</v>
      </c>
      <c r="L156" t="str" cm="1">
        <f t="array" ref="L156">_xlfn.IFS(LEN(K156)&lt;=9,"No Palsu",LEN(K156)&lt;=12,"No Asli",LEN(K156)&gt;12,"No Palsu")</f>
        <v>No Palsu</v>
      </c>
    </row>
    <row r="157" spans="1:12" x14ac:dyDescent="0.35">
      <c r="A157">
        <v>8295081</v>
      </c>
      <c r="B157" t="s">
        <v>330</v>
      </c>
      <c r="C157">
        <v>26</v>
      </c>
      <c r="D157" t="s">
        <v>23</v>
      </c>
      <c r="E157" t="s">
        <v>139</v>
      </c>
      <c r="F157" t="s">
        <v>331</v>
      </c>
      <c r="G157" t="s">
        <v>15</v>
      </c>
      <c r="H157" t="s">
        <v>141</v>
      </c>
      <c r="I157" s="1">
        <v>9176474</v>
      </c>
      <c r="J157" s="2">
        <v>45778</v>
      </c>
      <c r="K157">
        <v>8213456789</v>
      </c>
      <c r="L157" t="str" cm="1">
        <f t="array" ref="L157">_xlfn.IFS(LEN(K157)&lt;=9,"No Palsu",LEN(K157)&lt;=12,"No Asli",LEN(K157)&gt;12,"No Palsu")</f>
        <v>No Asli</v>
      </c>
    </row>
    <row r="158" spans="1:12" x14ac:dyDescent="0.35">
      <c r="A158">
        <v>8367667</v>
      </c>
      <c r="B158" t="s">
        <v>332</v>
      </c>
      <c r="C158">
        <v>63</v>
      </c>
      <c r="D158" t="s">
        <v>12</v>
      </c>
      <c r="E158" t="s">
        <v>18</v>
      </c>
      <c r="F158" t="s">
        <v>333</v>
      </c>
      <c r="G158" t="s">
        <v>40</v>
      </c>
      <c r="H158" t="s">
        <v>21</v>
      </c>
      <c r="I158" s="1">
        <v>7794595</v>
      </c>
      <c r="J158" s="2">
        <v>45809</v>
      </c>
      <c r="K158">
        <v>8221907561</v>
      </c>
      <c r="L158" t="str" cm="1">
        <f t="array" ref="L158">_xlfn.IFS(LEN(K158)&lt;=9,"No Palsu",LEN(K158)&lt;=12,"No Asli",LEN(K158)&gt;12,"No Palsu")</f>
        <v>No Asli</v>
      </c>
    </row>
    <row r="159" spans="1:12" x14ac:dyDescent="0.35">
      <c r="A159">
        <v>8369051</v>
      </c>
      <c r="B159" t="s">
        <v>334</v>
      </c>
      <c r="C159">
        <v>28</v>
      </c>
      <c r="D159" t="s">
        <v>23</v>
      </c>
      <c r="E159" t="s">
        <v>55</v>
      </c>
      <c r="F159" t="s">
        <v>335</v>
      </c>
      <c r="G159" t="s">
        <v>15</v>
      </c>
      <c r="H159" t="s">
        <v>57</v>
      </c>
      <c r="I159" s="1">
        <v>3456077</v>
      </c>
      <c r="J159" s="2">
        <v>45839</v>
      </c>
      <c r="K159">
        <v>81134567888</v>
      </c>
      <c r="L159" t="str" cm="1">
        <f t="array" ref="L159">_xlfn.IFS(LEN(K159)&lt;=9,"No Palsu",LEN(K159)&lt;=12,"No Asli",LEN(K159)&gt;12,"No Palsu")</f>
        <v>No Asli</v>
      </c>
    </row>
    <row r="160" spans="1:12" x14ac:dyDescent="0.35">
      <c r="A160">
        <v>8369052</v>
      </c>
      <c r="B160" t="s">
        <v>336</v>
      </c>
      <c r="C160">
        <v>28</v>
      </c>
      <c r="D160" t="s">
        <v>23</v>
      </c>
      <c r="E160" t="s">
        <v>13</v>
      </c>
      <c r="F160" t="s">
        <v>337</v>
      </c>
      <c r="G160" t="s">
        <v>15</v>
      </c>
      <c r="H160" t="s">
        <v>16</v>
      </c>
      <c r="I160" s="1">
        <v>2976849</v>
      </c>
      <c r="J160" s="2">
        <v>45870</v>
      </c>
      <c r="K160">
        <v>8083421567892</v>
      </c>
      <c r="L160" t="str" cm="1">
        <f t="array" ref="L160">_xlfn.IFS(LEN(K160)&lt;=9,"No Palsu",LEN(K160)&lt;=12,"No Asli",LEN(K160)&gt;12,"No Palsu")</f>
        <v>No Palsu</v>
      </c>
    </row>
    <row r="161" spans="1:12" x14ac:dyDescent="0.35">
      <c r="A161">
        <v>8369052</v>
      </c>
      <c r="B161" t="s">
        <v>336</v>
      </c>
      <c r="C161">
        <v>28</v>
      </c>
      <c r="D161" t="s">
        <v>23</v>
      </c>
      <c r="E161" t="s">
        <v>13</v>
      </c>
      <c r="F161" t="s">
        <v>337</v>
      </c>
      <c r="G161" t="s">
        <v>15</v>
      </c>
      <c r="H161" t="s">
        <v>16</v>
      </c>
      <c r="I161" s="1">
        <v>2976849</v>
      </c>
      <c r="J161" s="2">
        <v>45901</v>
      </c>
      <c r="K161">
        <v>81134566</v>
      </c>
      <c r="L161" t="str" cm="1">
        <f t="array" ref="L161">_xlfn.IFS(LEN(K161)&lt;=9,"No Palsu",LEN(K161)&lt;=12,"No Asli",LEN(K161)&gt;12,"No Palsu")</f>
        <v>No Palsu</v>
      </c>
    </row>
    <row r="162" spans="1:12" x14ac:dyDescent="0.35">
      <c r="A162">
        <v>8476976</v>
      </c>
      <c r="B162" t="s">
        <v>338</v>
      </c>
      <c r="C162">
        <v>58</v>
      </c>
      <c r="D162" t="s">
        <v>12</v>
      </c>
      <c r="E162" t="s">
        <v>59</v>
      </c>
      <c r="F162" t="s">
        <v>339</v>
      </c>
      <c r="G162" t="s">
        <v>40</v>
      </c>
      <c r="H162" t="s">
        <v>61</v>
      </c>
      <c r="I162" s="1">
        <v>7363492</v>
      </c>
      <c r="J162" s="2">
        <v>45931</v>
      </c>
      <c r="K162">
        <v>82134527811</v>
      </c>
      <c r="L162" t="str" cm="1">
        <f t="array" ref="L162">_xlfn.IFS(LEN(K162)&lt;=9,"No Palsu",LEN(K162)&lt;=12,"No Asli",LEN(K162)&gt;12,"No Palsu")</f>
        <v>No Asli</v>
      </c>
    </row>
    <row r="163" spans="1:12" x14ac:dyDescent="0.35">
      <c r="A163">
        <v>8573274</v>
      </c>
      <c r="B163" t="s">
        <v>340</v>
      </c>
      <c r="C163">
        <v>26</v>
      </c>
      <c r="D163" t="s">
        <v>12</v>
      </c>
      <c r="E163" t="s">
        <v>13</v>
      </c>
      <c r="F163" t="s">
        <v>341</v>
      </c>
      <c r="G163" t="s">
        <v>15</v>
      </c>
      <c r="H163" t="s">
        <v>16</v>
      </c>
      <c r="I163" s="1">
        <v>2023012</v>
      </c>
      <c r="J163" s="2">
        <v>45809</v>
      </c>
      <c r="K163">
        <v>811322674</v>
      </c>
      <c r="L163" t="str" cm="1">
        <f t="array" ref="L163">_xlfn.IFS(LEN(K163)&lt;=9,"No Palsu",LEN(K163)&lt;=12,"No Asli",LEN(K163)&gt;12,"No Palsu")</f>
        <v>No Palsu</v>
      </c>
    </row>
    <row r="164" spans="1:12" x14ac:dyDescent="0.35">
      <c r="A164">
        <v>8573274</v>
      </c>
      <c r="B164" t="s">
        <v>340</v>
      </c>
      <c r="C164">
        <v>26</v>
      </c>
      <c r="D164" t="s">
        <v>12</v>
      </c>
      <c r="E164" t="s">
        <v>13</v>
      </c>
      <c r="F164" t="s">
        <v>341</v>
      </c>
      <c r="G164" t="s">
        <v>15</v>
      </c>
      <c r="H164" t="s">
        <v>16</v>
      </c>
      <c r="I164" s="1">
        <v>2023012</v>
      </c>
      <c r="J164" s="2">
        <v>45839</v>
      </c>
      <c r="K164">
        <v>8582334567896</v>
      </c>
      <c r="L164" t="str" cm="1">
        <f t="array" ref="L164">_xlfn.IFS(LEN(K164)&lt;=9,"No Palsu",LEN(K164)&lt;=12,"No Asli",LEN(K164)&gt;12,"No Palsu")</f>
        <v>No Palsu</v>
      </c>
    </row>
    <row r="165" spans="1:12" x14ac:dyDescent="0.35">
      <c r="A165">
        <v>8578079</v>
      </c>
      <c r="B165" t="s">
        <v>342</v>
      </c>
      <c r="C165">
        <v>18</v>
      </c>
      <c r="D165" t="s">
        <v>12</v>
      </c>
      <c r="E165" t="s">
        <v>18</v>
      </c>
      <c r="F165" t="s">
        <v>343</v>
      </c>
      <c r="G165" t="s">
        <v>46</v>
      </c>
      <c r="H165" t="s">
        <v>21</v>
      </c>
      <c r="I165" s="1">
        <v>8861901</v>
      </c>
      <c r="J165" s="2">
        <v>45870</v>
      </c>
      <c r="K165">
        <v>8213456789</v>
      </c>
      <c r="L165" t="str" cm="1">
        <f t="array" ref="L165">_xlfn.IFS(LEN(K165)&lt;=9,"No Palsu",LEN(K165)&lt;=12,"No Asli",LEN(K165)&gt;12,"No Palsu")</f>
        <v>No Asli</v>
      </c>
    </row>
    <row r="166" spans="1:12" x14ac:dyDescent="0.35">
      <c r="A166">
        <v>8726080</v>
      </c>
      <c r="B166" t="s">
        <v>344</v>
      </c>
      <c r="C166">
        <v>17</v>
      </c>
      <c r="D166" t="s">
        <v>23</v>
      </c>
      <c r="E166" t="s">
        <v>13</v>
      </c>
      <c r="F166" t="s">
        <v>345</v>
      </c>
      <c r="G166" t="s">
        <v>46</v>
      </c>
      <c r="H166" t="s">
        <v>16</v>
      </c>
      <c r="I166" s="1">
        <v>1156505</v>
      </c>
      <c r="J166" s="2">
        <v>45901</v>
      </c>
      <c r="K166">
        <v>8221907561</v>
      </c>
      <c r="L166" t="str" cm="1">
        <f t="array" ref="L166">_xlfn.IFS(LEN(K166)&lt;=9,"No Palsu",LEN(K166)&lt;=12,"No Asli",LEN(K166)&gt;12,"No Palsu")</f>
        <v>No Asli</v>
      </c>
    </row>
    <row r="167" spans="1:12" x14ac:dyDescent="0.35">
      <c r="A167">
        <v>8834464</v>
      </c>
      <c r="B167" t="s">
        <v>346</v>
      </c>
      <c r="C167">
        <v>60</v>
      </c>
      <c r="D167" t="s">
        <v>12</v>
      </c>
      <c r="E167" t="s">
        <v>27</v>
      </c>
      <c r="F167" t="s">
        <v>347</v>
      </c>
      <c r="G167" t="s">
        <v>40</v>
      </c>
      <c r="H167" t="s">
        <v>29</v>
      </c>
      <c r="I167" s="1">
        <v>5149004</v>
      </c>
      <c r="J167" s="2">
        <v>45931</v>
      </c>
      <c r="K167">
        <v>81134567888</v>
      </c>
      <c r="L167" t="str" cm="1">
        <f t="array" ref="L167">_xlfn.IFS(LEN(K167)&lt;=9,"No Palsu",LEN(K167)&lt;=12,"No Asli",LEN(K167)&gt;12,"No Palsu")</f>
        <v>No Asli</v>
      </c>
    </row>
    <row r="168" spans="1:12" x14ac:dyDescent="0.35">
      <c r="A168">
        <v>8844203</v>
      </c>
      <c r="B168" t="s">
        <v>348</v>
      </c>
      <c r="C168">
        <v>27</v>
      </c>
      <c r="D168" t="s">
        <v>12</v>
      </c>
      <c r="E168" t="s">
        <v>18</v>
      </c>
      <c r="F168" t="s">
        <v>349</v>
      </c>
      <c r="G168" t="s">
        <v>15</v>
      </c>
      <c r="H168" t="s">
        <v>21</v>
      </c>
      <c r="I168" s="1">
        <v>1243861</v>
      </c>
      <c r="J168" s="2">
        <v>45717</v>
      </c>
      <c r="K168">
        <v>8083421567892</v>
      </c>
      <c r="L168" t="str" cm="1">
        <f t="array" ref="L168">_xlfn.IFS(LEN(K168)&lt;=9,"No Palsu",LEN(K168)&lt;=12,"No Asli",LEN(K168)&gt;12,"No Palsu")</f>
        <v>No Palsu</v>
      </c>
    </row>
    <row r="169" spans="1:12" x14ac:dyDescent="0.35">
      <c r="A169">
        <v>8868806</v>
      </c>
      <c r="B169" t="s">
        <v>350</v>
      </c>
      <c r="C169">
        <v>41</v>
      </c>
      <c r="D169" t="s">
        <v>23</v>
      </c>
      <c r="E169" t="s">
        <v>83</v>
      </c>
      <c r="F169" t="s">
        <v>351</v>
      </c>
      <c r="G169" t="s">
        <v>25</v>
      </c>
      <c r="H169" t="s">
        <v>85</v>
      </c>
      <c r="I169" s="1">
        <v>6068646</v>
      </c>
      <c r="J169" s="2">
        <v>45748</v>
      </c>
      <c r="K169">
        <v>81134566</v>
      </c>
      <c r="L169" t="str" cm="1">
        <f t="array" ref="L169">_xlfn.IFS(LEN(K169)&lt;=9,"No Palsu",LEN(K169)&lt;=12,"No Asli",LEN(K169)&gt;12,"No Palsu")</f>
        <v>No Palsu</v>
      </c>
    </row>
    <row r="170" spans="1:12" x14ac:dyDescent="0.35">
      <c r="A170">
        <v>8871506</v>
      </c>
      <c r="B170" t="s">
        <v>352</v>
      </c>
      <c r="C170">
        <v>29</v>
      </c>
      <c r="D170" t="s">
        <v>12</v>
      </c>
      <c r="E170" t="s">
        <v>89</v>
      </c>
      <c r="F170" t="s">
        <v>353</v>
      </c>
      <c r="G170" t="s">
        <v>15</v>
      </c>
      <c r="H170" t="s">
        <v>91</v>
      </c>
      <c r="I170" s="1">
        <v>6042041</v>
      </c>
      <c r="J170" s="2">
        <v>45717</v>
      </c>
      <c r="K170">
        <v>82134527811</v>
      </c>
      <c r="L170" t="str" cm="1">
        <f t="array" ref="L170">_xlfn.IFS(LEN(K170)&lt;=9,"No Palsu",LEN(K170)&lt;=12,"No Asli",LEN(K170)&gt;12,"No Palsu")</f>
        <v>No Asli</v>
      </c>
    </row>
    <row r="171" spans="1:12" x14ac:dyDescent="0.35">
      <c r="A171">
        <v>8882904</v>
      </c>
      <c r="B171" t="s">
        <v>354</v>
      </c>
      <c r="C171">
        <v>20</v>
      </c>
      <c r="D171" t="s">
        <v>12</v>
      </c>
      <c r="E171" t="s">
        <v>35</v>
      </c>
      <c r="F171" t="s">
        <v>355</v>
      </c>
      <c r="G171" t="s">
        <v>46</v>
      </c>
      <c r="H171" t="s">
        <v>37</v>
      </c>
      <c r="I171" s="1">
        <v>2083194</v>
      </c>
      <c r="J171" s="2">
        <v>45717</v>
      </c>
      <c r="K171">
        <v>811322674</v>
      </c>
      <c r="L171" t="str" cm="1">
        <f t="array" ref="L171">_xlfn.IFS(LEN(K171)&lt;=9,"No Palsu",LEN(K171)&lt;=12,"No Asli",LEN(K171)&gt;12,"No Palsu")</f>
        <v>No Palsu</v>
      </c>
    </row>
    <row r="172" spans="1:12" x14ac:dyDescent="0.35">
      <c r="A172">
        <v>8882904</v>
      </c>
      <c r="B172" t="s">
        <v>354</v>
      </c>
      <c r="C172">
        <v>20</v>
      </c>
      <c r="D172" t="s">
        <v>12</v>
      </c>
      <c r="E172" t="s">
        <v>35</v>
      </c>
      <c r="F172" t="s">
        <v>355</v>
      </c>
      <c r="G172" t="s">
        <v>46</v>
      </c>
      <c r="H172" t="s">
        <v>37</v>
      </c>
      <c r="I172" s="1">
        <v>2083194</v>
      </c>
      <c r="J172" s="2">
        <v>45717</v>
      </c>
      <c r="K172">
        <v>8582334567896</v>
      </c>
      <c r="L172" t="str" cm="1">
        <f t="array" ref="L172">_xlfn.IFS(LEN(K172)&lt;=9,"No Palsu",LEN(K172)&lt;=12,"No Asli",LEN(K172)&gt;12,"No Palsu")</f>
        <v>No Palsu</v>
      </c>
    </row>
    <row r="173" spans="1:12" x14ac:dyDescent="0.35">
      <c r="A173">
        <v>8882902</v>
      </c>
      <c r="B173" t="s">
        <v>70</v>
      </c>
      <c r="C173">
        <v>20</v>
      </c>
      <c r="D173" t="s">
        <v>12</v>
      </c>
      <c r="E173" t="s">
        <v>18</v>
      </c>
      <c r="F173" t="s">
        <v>356</v>
      </c>
      <c r="G173" t="s">
        <v>46</v>
      </c>
      <c r="H173" t="s">
        <v>21</v>
      </c>
      <c r="I173" s="1">
        <v>3477586</v>
      </c>
      <c r="J173" s="2">
        <v>45717</v>
      </c>
      <c r="K173">
        <v>8213456789</v>
      </c>
      <c r="L173" t="str" cm="1">
        <f t="array" ref="L173">_xlfn.IFS(LEN(K173)&lt;=9,"No Palsu",LEN(K173)&lt;=12,"No Asli",LEN(K173)&gt;12,"No Palsu")</f>
        <v>No Asli</v>
      </c>
    </row>
    <row r="174" spans="1:12" x14ac:dyDescent="0.35">
      <c r="A174">
        <v>9389684</v>
      </c>
      <c r="B174" t="s">
        <v>357</v>
      </c>
      <c r="C174">
        <v>26</v>
      </c>
      <c r="D174" t="s">
        <v>23</v>
      </c>
      <c r="E174" t="s">
        <v>63</v>
      </c>
      <c r="F174" t="s">
        <v>358</v>
      </c>
      <c r="G174" t="s">
        <v>15</v>
      </c>
      <c r="H174" t="s">
        <v>65</v>
      </c>
      <c r="I174" s="1">
        <v>1366017</v>
      </c>
      <c r="J174" s="2">
        <v>45748</v>
      </c>
      <c r="K174">
        <v>8083421567892</v>
      </c>
      <c r="L174" t="str" cm="1">
        <f t="array" ref="L174">_xlfn.IFS(LEN(K174)&lt;=9,"No Palsu",LEN(K174)&lt;=12,"No Asli",LEN(K174)&gt;12,"No Palsu")</f>
        <v>No Palsu</v>
      </c>
    </row>
  </sheetData>
  <mergeCells count="1">
    <mergeCell ref="P1:Q1"/>
  </mergeCells>
  <conditionalFormatting sqref="L2:L174">
    <cfRule type="containsText" dxfId="1" priority="1" operator="containsText" text="No Asli">
      <formula>NOT(ISERROR(SEARCH("No Asli",L2)))</formula>
    </cfRule>
    <cfRule type="containsText" dxfId="0" priority="2" operator="containsText" text="No Palsu">
      <formula>NOT(ISERROR(SEARCH("No Palsu",L2)))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8D06-0AE4-4D49-98CF-E42D220119B1}">
  <dimension ref="B1:I55"/>
  <sheetViews>
    <sheetView showGridLines="0" zoomScaleNormal="100" workbookViewId="0">
      <selection activeCell="J11" sqref="J11"/>
    </sheetView>
  </sheetViews>
  <sheetFormatPr defaultRowHeight="14" x14ac:dyDescent="0.3"/>
  <cols>
    <col min="1" max="1" width="2.7265625" style="3" customWidth="1"/>
    <col min="2" max="2" width="1.6328125" style="3" customWidth="1"/>
    <col min="3" max="3" width="18.7265625" style="3" customWidth="1"/>
    <col min="4" max="5" width="20" style="3" customWidth="1"/>
    <col min="6" max="6" width="20.08984375" style="3" customWidth="1"/>
    <col min="7" max="7" width="4" style="3" customWidth="1"/>
    <col min="8" max="8" width="11" style="3" bestFit="1" customWidth="1"/>
    <col min="9" max="16384" width="8.7265625" style="3"/>
  </cols>
  <sheetData>
    <row r="1" spans="2:9" ht="6" customHeight="1" x14ac:dyDescent="0.3"/>
    <row r="2" spans="2:9" ht="19.5" customHeight="1" x14ac:dyDescent="0.3">
      <c r="C2" s="20" t="s">
        <v>370</v>
      </c>
      <c r="D2" s="20"/>
      <c r="E2" s="20"/>
      <c r="F2" s="20"/>
    </row>
    <row r="3" spans="2:9" ht="6" customHeight="1" x14ac:dyDescent="0.3"/>
    <row r="4" spans="2:9" x14ac:dyDescent="0.3">
      <c r="B4" s="9" t="s">
        <v>369</v>
      </c>
    </row>
    <row r="5" spans="2:9" ht="5" customHeight="1" x14ac:dyDescent="0.3"/>
    <row r="6" spans="2:9" s="7" customFormat="1" ht="19.5" customHeight="1" x14ac:dyDescent="0.35">
      <c r="C6" s="8" t="s">
        <v>7</v>
      </c>
      <c r="D6" s="8" t="s">
        <v>359</v>
      </c>
      <c r="E6" s="8" t="s">
        <v>360</v>
      </c>
    </row>
    <row r="7" spans="2:9" x14ac:dyDescent="0.3">
      <c r="C7" s="4" t="s">
        <v>141</v>
      </c>
      <c r="D7" s="5">
        <f>SUMIF(Dataset!$H$2:$H$1048576,Output!C7,Dataset!$I$2:$I$1048576)</f>
        <v>54096785</v>
      </c>
      <c r="E7" s="5">
        <f>AVERAGEIF(Dataset!$H$2:$H$1048576,Output!C7,Dataset!$I$2:$I$1048576)</f>
        <v>6010753.888888889</v>
      </c>
      <c r="I7" s="6"/>
    </row>
    <row r="8" spans="2:9" x14ac:dyDescent="0.3">
      <c r="C8" s="4" t="s">
        <v>21</v>
      </c>
      <c r="D8" s="5">
        <f>SUMIF(Dataset!$H$2:$H$1048576,Output!C8,Dataset!$I$2:$I$1048576)</f>
        <v>71416001</v>
      </c>
      <c r="E8" s="5">
        <f>AVERAGEIF(Dataset!$H$2:$H$1048576,Output!C8,Dataset!$I$2:$I$1048576)</f>
        <v>5951333.416666667</v>
      </c>
      <c r="H8" s="11"/>
      <c r="I8" s="6"/>
    </row>
    <row r="9" spans="2:9" x14ac:dyDescent="0.3">
      <c r="C9" s="4" t="s">
        <v>65</v>
      </c>
      <c r="D9" s="5">
        <f>SUMIF(Dataset!$H$2:$H$1048576,Output!C9,Dataset!$I$2:$I$1048576)</f>
        <v>55344572</v>
      </c>
      <c r="E9" s="5">
        <f>AVERAGEIF(Dataset!$H$2:$H$1048576,Output!C9,Dataset!$I$2:$I$1048576)</f>
        <v>5534457.2000000002</v>
      </c>
      <c r="H9" s="11"/>
    </row>
    <row r="10" spans="2:9" x14ac:dyDescent="0.3">
      <c r="C10" s="4" t="s">
        <v>57</v>
      </c>
      <c r="D10" s="5">
        <f>SUMIF(Dataset!$H$2:$H$1048576,Output!C10,Dataset!$I$2:$I$1048576)</f>
        <v>80073422</v>
      </c>
      <c r="E10" s="5">
        <f>AVERAGEIF(Dataset!$H$2:$H$1048576,Output!C10,Dataset!$I$2:$I$1048576)</f>
        <v>5338228.1333333338</v>
      </c>
    </row>
    <row r="11" spans="2:9" x14ac:dyDescent="0.3">
      <c r="C11" s="4" t="s">
        <v>29</v>
      </c>
      <c r="D11" s="5">
        <f>SUMIF(Dataset!$H$2:$H$1048576,Output!C11,Dataset!$I$2:$I$1048576)</f>
        <v>63649090</v>
      </c>
      <c r="E11" s="5">
        <f>AVERAGEIF(Dataset!$H$2:$H$1048576,Output!C11,Dataset!$I$2:$I$1048576)</f>
        <v>5304090.833333333</v>
      </c>
    </row>
    <row r="12" spans="2:9" x14ac:dyDescent="0.3">
      <c r="C12" s="4" t="s">
        <v>47</v>
      </c>
      <c r="D12" s="5">
        <f>SUMIF(Dataset!$H$2:$H$1048576,Output!C12,Dataset!$I$2:$I$1048576)</f>
        <v>90116110</v>
      </c>
      <c r="E12" s="5">
        <f>AVERAGEIF(Dataset!$H$2:$H$1048576,Output!C12,Dataset!$I$2:$I$1048576)</f>
        <v>5300947.6470588231</v>
      </c>
    </row>
    <row r="13" spans="2:9" x14ac:dyDescent="0.3">
      <c r="C13" s="4" t="s">
        <v>85</v>
      </c>
      <c r="D13" s="5">
        <f>SUMIF(Dataset!$H$2:$H$1048576,Output!C13,Dataset!$I$2:$I$1048576)</f>
        <v>42021415</v>
      </c>
      <c r="E13" s="5">
        <f>AVERAGEIF(Dataset!$H$2:$H$1048576,Output!C13,Dataset!$I$2:$I$1048576)</f>
        <v>5252676.875</v>
      </c>
    </row>
    <row r="14" spans="2:9" x14ac:dyDescent="0.3">
      <c r="C14" s="4" t="s">
        <v>33</v>
      </c>
      <c r="D14" s="5">
        <f>SUMIF(Dataset!$H$2:$H$1048576,Output!C14,Dataset!$I$2:$I$1048576)</f>
        <v>87340863</v>
      </c>
      <c r="E14" s="5">
        <f>AVERAGEIF(Dataset!$H$2:$H$1048576,Output!C14,Dataset!$I$2:$I$1048576)</f>
        <v>5137697.823529412</v>
      </c>
    </row>
    <row r="15" spans="2:9" x14ac:dyDescent="0.3">
      <c r="C15" s="4" t="s">
        <v>16</v>
      </c>
      <c r="D15" s="5">
        <f>SUMIF(Dataset!$H$2:$H$1048576,Output!C15,Dataset!$I$2:$I$1048576)</f>
        <v>93870670</v>
      </c>
      <c r="E15" s="5">
        <f>AVERAGEIF(Dataset!$H$2:$H$1048576,Output!C15,Dataset!$I$2:$I$1048576)</f>
        <v>4940561.5789473681</v>
      </c>
    </row>
    <row r="16" spans="2:9" x14ac:dyDescent="0.3">
      <c r="C16" s="4" t="s">
        <v>61</v>
      </c>
      <c r="D16" s="5">
        <f>SUMIF(Dataset!$H$2:$H$1048576,Output!C16,Dataset!$I$2:$I$1048576)</f>
        <v>67448255</v>
      </c>
      <c r="E16" s="5">
        <f>AVERAGEIF(Dataset!$H$2:$H$1048576,Output!C16,Dataset!$I$2:$I$1048576)</f>
        <v>4817732.5</v>
      </c>
    </row>
    <row r="17" spans="2:9" x14ac:dyDescent="0.3">
      <c r="C17" s="4" t="s">
        <v>37</v>
      </c>
      <c r="D17" s="5">
        <f>SUMIF(Dataset!$H$2:$H$1048576,Output!C17,Dataset!$I$2:$I$1048576)</f>
        <v>46577549</v>
      </c>
      <c r="E17" s="5">
        <f>AVERAGEIF(Dataset!$H$2:$H$1048576,Output!C17,Dataset!$I$2:$I$1048576)</f>
        <v>4657754.9000000004</v>
      </c>
    </row>
    <row r="18" spans="2:9" x14ac:dyDescent="0.3">
      <c r="C18" s="4" t="s">
        <v>79</v>
      </c>
      <c r="D18" s="5">
        <f>SUMIF(Dataset!$H$2:$H$1048576,Output!C18,Dataset!$I$2:$I$1048576)</f>
        <v>76602460</v>
      </c>
      <c r="E18" s="5">
        <f>AVERAGEIF(Dataset!$H$2:$H$1048576,Output!C18,Dataset!$I$2:$I$1048576)</f>
        <v>4506027.0588235296</v>
      </c>
    </row>
    <row r="19" spans="2:9" x14ac:dyDescent="0.3">
      <c r="C19" s="4" t="s">
        <v>91</v>
      </c>
      <c r="D19" s="5">
        <f>SUMIF(Dataset!$H$2:$H$1048576,Output!C19,Dataset!$I$2:$I$1048576)</f>
        <v>50826050</v>
      </c>
      <c r="E19" s="5">
        <f>AVERAGEIF(Dataset!$H$2:$H$1048576,Output!C19,Dataset!$I$2:$I$1048576)</f>
        <v>3909696.153846154</v>
      </c>
    </row>
    <row r="21" spans="2:9" x14ac:dyDescent="0.3">
      <c r="B21" s="9" t="s">
        <v>371</v>
      </c>
    </row>
    <row r="22" spans="2:9" ht="8" customHeight="1" x14ac:dyDescent="0.3"/>
    <row r="23" spans="2:9" ht="17" customHeight="1" x14ac:dyDescent="0.3">
      <c r="C23" s="17" t="s">
        <v>7</v>
      </c>
      <c r="D23" s="18" t="s">
        <v>374</v>
      </c>
      <c r="E23" s="19"/>
      <c r="F23" s="17" t="s">
        <v>359</v>
      </c>
    </row>
    <row r="24" spans="2:9" s="7" customFormat="1" ht="17" customHeight="1" x14ac:dyDescent="0.35">
      <c r="C24" s="17"/>
      <c r="D24" s="8" t="s">
        <v>372</v>
      </c>
      <c r="E24" s="8" t="s">
        <v>373</v>
      </c>
      <c r="F24" s="17"/>
    </row>
    <row r="25" spans="2:9" x14ac:dyDescent="0.3">
      <c r="C25" s="4" t="s">
        <v>141</v>
      </c>
      <c r="D25" s="5">
        <f>SUMIFS(Dataset!$I$2:$I$174,Dataset!$H$2:$H$174,Output!C25,Dataset!$D$2:$D$174,"Laki-laki")</f>
        <v>23509134</v>
      </c>
      <c r="E25" s="5">
        <f>SUMIFS(Dataset!$I$2:$I$174,Dataset!$H$2:$H$174,Output!C25,Dataset!$D$2:$D$174,"Perempuan")</f>
        <v>30587651</v>
      </c>
      <c r="F25" s="10">
        <f>D25+E25</f>
        <v>54096785</v>
      </c>
      <c r="G25" s="11"/>
      <c r="I25" s="6"/>
    </row>
    <row r="26" spans="2:9" x14ac:dyDescent="0.3">
      <c r="C26" s="4" t="s">
        <v>21</v>
      </c>
      <c r="D26" s="5">
        <f>SUMIFS(Dataset!$I$2:$I$174,Dataset!$H$2:$H$174,Output!C26,Dataset!$D$2:$D$174,"Laki-laki")</f>
        <v>38889087</v>
      </c>
      <c r="E26" s="5">
        <f>SUMIFS(Dataset!$I$2:$I$174,Dataset!$H$2:$H$174,Output!C26,Dataset!$D$2:$D$174,"Perempuan")</f>
        <v>32526914</v>
      </c>
      <c r="F26" s="10">
        <f t="shared" ref="F26:F37" si="0">D26+E26</f>
        <v>71416001</v>
      </c>
      <c r="G26" s="11"/>
      <c r="I26" s="6"/>
    </row>
    <row r="27" spans="2:9" x14ac:dyDescent="0.3">
      <c r="C27" s="4" t="s">
        <v>65</v>
      </c>
      <c r="D27" s="5">
        <f>SUMIFS(Dataset!$I$2:$I$174,Dataset!$H$2:$H$174,Output!C27,Dataset!$D$2:$D$174,"Laki-laki")</f>
        <v>43733943</v>
      </c>
      <c r="E27" s="5">
        <f>SUMIFS(Dataset!$I$2:$I$174,Dataset!$H$2:$H$174,Output!C27,Dataset!$D$2:$D$174,"Perempuan")</f>
        <v>11610629</v>
      </c>
      <c r="F27" s="10">
        <f t="shared" si="0"/>
        <v>55344572</v>
      </c>
      <c r="G27" s="11"/>
    </row>
    <row r="28" spans="2:9" x14ac:dyDescent="0.3">
      <c r="C28" s="4" t="s">
        <v>57</v>
      </c>
      <c r="D28" s="5">
        <f>SUMIFS(Dataset!$I$2:$I$174,Dataset!$H$2:$H$174,Output!C28,Dataset!$D$2:$D$174,"Laki-laki")</f>
        <v>46882279</v>
      </c>
      <c r="E28" s="5">
        <f>SUMIFS(Dataset!$I$2:$I$174,Dataset!$H$2:$H$174,Output!C28,Dataset!$D$2:$D$174,"Perempuan")</f>
        <v>33191143</v>
      </c>
      <c r="F28" s="10">
        <f t="shared" si="0"/>
        <v>80073422</v>
      </c>
      <c r="G28" s="11"/>
      <c r="H28" s="11"/>
    </row>
    <row r="29" spans="2:9" x14ac:dyDescent="0.3">
      <c r="C29" s="4" t="s">
        <v>29</v>
      </c>
      <c r="D29" s="5">
        <f>SUMIFS(Dataset!$I$2:$I$174,Dataset!$H$2:$H$174,Output!C29,Dataset!$D$2:$D$174,"Laki-laki")</f>
        <v>26694161</v>
      </c>
      <c r="E29" s="5">
        <f>SUMIFS(Dataset!$I$2:$I$174,Dataset!$H$2:$H$174,Output!C29,Dataset!$D$2:$D$174,"Perempuan")</f>
        <v>36954929</v>
      </c>
      <c r="F29" s="10">
        <f t="shared" si="0"/>
        <v>63649090</v>
      </c>
      <c r="G29" s="11"/>
      <c r="H29" s="11"/>
    </row>
    <row r="30" spans="2:9" x14ac:dyDescent="0.3">
      <c r="C30" s="4" t="s">
        <v>47</v>
      </c>
      <c r="D30" s="5">
        <f>SUMIFS(Dataset!$I$2:$I$174,Dataset!$H$2:$H$174,Output!C30,Dataset!$D$2:$D$174,"Laki-laki")</f>
        <v>32209403</v>
      </c>
      <c r="E30" s="5">
        <f>SUMIFS(Dataset!$I$2:$I$174,Dataset!$H$2:$H$174,Output!C30,Dataset!$D$2:$D$174,"Perempuan")</f>
        <v>57906707</v>
      </c>
      <c r="F30" s="10">
        <f t="shared" si="0"/>
        <v>90116110</v>
      </c>
      <c r="G30" s="11"/>
    </row>
    <row r="31" spans="2:9" x14ac:dyDescent="0.3">
      <c r="C31" s="4" t="s">
        <v>85</v>
      </c>
      <c r="D31" s="5">
        <f>SUMIFS(Dataset!$I$2:$I$174,Dataset!$H$2:$H$174,Output!C31,Dataset!$D$2:$D$174,"Laki-laki")</f>
        <v>6068646</v>
      </c>
      <c r="E31" s="5">
        <f>SUMIFS(Dataset!$I$2:$I$174,Dataset!$H$2:$H$174,Output!C31,Dataset!$D$2:$D$174,"Perempuan")</f>
        <v>35952769</v>
      </c>
      <c r="F31" s="10">
        <f t="shared" si="0"/>
        <v>42021415</v>
      </c>
      <c r="G31" s="11"/>
    </row>
    <row r="32" spans="2:9" x14ac:dyDescent="0.3">
      <c r="C32" s="4" t="s">
        <v>33</v>
      </c>
      <c r="D32" s="5">
        <f>SUMIFS(Dataset!$I$2:$I$174,Dataset!$H$2:$H$174,Output!C32,Dataset!$D$2:$D$174,"Laki-laki")</f>
        <v>65245718</v>
      </c>
      <c r="E32" s="5">
        <f>SUMIFS(Dataset!$I$2:$I$174,Dataset!$H$2:$H$174,Output!C32,Dataset!$D$2:$D$174,"Perempuan")</f>
        <v>22095145</v>
      </c>
      <c r="F32" s="10">
        <f t="shared" si="0"/>
        <v>87340863</v>
      </c>
      <c r="G32" s="11"/>
    </row>
    <row r="33" spans="2:7" x14ac:dyDescent="0.3">
      <c r="C33" s="4" t="s">
        <v>16</v>
      </c>
      <c r="D33" s="5">
        <f>SUMIFS(Dataset!$I$2:$I$174,Dataset!$H$2:$H$174,Output!C33,Dataset!$D$2:$D$174,"Laki-laki")</f>
        <v>53113216</v>
      </c>
      <c r="E33" s="5">
        <f>SUMIFS(Dataset!$I$2:$I$174,Dataset!$H$2:$H$174,Output!C33,Dataset!$D$2:$D$174,"Perempuan")</f>
        <v>40757454</v>
      </c>
      <c r="F33" s="10">
        <f t="shared" si="0"/>
        <v>93870670</v>
      </c>
      <c r="G33" s="11"/>
    </row>
    <row r="34" spans="2:7" x14ac:dyDescent="0.3">
      <c r="C34" s="4" t="s">
        <v>61</v>
      </c>
      <c r="D34" s="5">
        <f>SUMIFS(Dataset!$I$2:$I$174,Dataset!$H$2:$H$174,Output!C34,Dataset!$D$2:$D$174,"Laki-laki")</f>
        <v>45059950</v>
      </c>
      <c r="E34" s="5">
        <f>SUMIFS(Dataset!$I$2:$I$174,Dataset!$H$2:$H$174,Output!C34,Dataset!$D$2:$D$174,"Perempuan")</f>
        <v>22388305</v>
      </c>
      <c r="F34" s="10">
        <f t="shared" si="0"/>
        <v>67448255</v>
      </c>
      <c r="G34" s="11"/>
    </row>
    <row r="35" spans="2:7" x14ac:dyDescent="0.3">
      <c r="C35" s="4" t="s">
        <v>37</v>
      </c>
      <c r="D35" s="5">
        <f>SUMIFS(Dataset!$I$2:$I$174,Dataset!$H$2:$H$174,Output!C35,Dataset!$D$2:$D$174,"Laki-laki")</f>
        <v>28600099</v>
      </c>
      <c r="E35" s="5">
        <f>SUMIFS(Dataset!$I$2:$I$174,Dataset!$H$2:$H$174,Output!C35,Dataset!$D$2:$D$174,"Perempuan")</f>
        <v>17977450</v>
      </c>
      <c r="F35" s="10">
        <f t="shared" si="0"/>
        <v>46577549</v>
      </c>
      <c r="G35" s="11"/>
    </row>
    <row r="36" spans="2:7" x14ac:dyDescent="0.3">
      <c r="C36" s="4" t="s">
        <v>79</v>
      </c>
      <c r="D36" s="5">
        <f>SUMIFS(Dataset!$I$2:$I$174,Dataset!$H$2:$H$174,Output!C36,Dataset!$D$2:$D$174,"Laki-laki")</f>
        <v>31828143</v>
      </c>
      <c r="E36" s="5">
        <f>SUMIFS(Dataset!$I$2:$I$174,Dataset!$H$2:$H$174,Output!C36,Dataset!$D$2:$D$174,"Perempuan")</f>
        <v>44774317</v>
      </c>
      <c r="F36" s="10">
        <f t="shared" si="0"/>
        <v>76602460</v>
      </c>
      <c r="G36" s="11"/>
    </row>
    <row r="37" spans="2:7" x14ac:dyDescent="0.3">
      <c r="C37" s="4" t="s">
        <v>91</v>
      </c>
      <c r="D37" s="5">
        <f>SUMIFS(Dataset!$I$2:$I$174,Dataset!$H$2:$H$174,Output!C37,Dataset!$D$2:$D$174,"Laki-laki")</f>
        <v>20888685</v>
      </c>
      <c r="E37" s="5">
        <f>SUMIFS(Dataset!$I$2:$I$174,Dataset!$H$2:$H$174,Output!C37,Dataset!$D$2:$D$174,"Perempuan")</f>
        <v>29937365</v>
      </c>
      <c r="F37" s="10">
        <f t="shared" si="0"/>
        <v>50826050</v>
      </c>
      <c r="G37" s="11"/>
    </row>
    <row r="38" spans="2:7" x14ac:dyDescent="0.3">
      <c r="C38" s="22" t="s">
        <v>382</v>
      </c>
      <c r="D38" s="23">
        <f>SUM(D25:D37)</f>
        <v>462722464</v>
      </c>
      <c r="E38" s="23">
        <f t="shared" ref="E38:F38" si="1">SUM(E25:E37)</f>
        <v>416660778</v>
      </c>
      <c r="F38" s="23">
        <f t="shared" si="1"/>
        <v>879383242</v>
      </c>
      <c r="G38" s="11"/>
    </row>
    <row r="40" spans="2:7" x14ac:dyDescent="0.3">
      <c r="B40" s="9" t="s">
        <v>375</v>
      </c>
    </row>
    <row r="41" spans="2:7" ht="7" customHeight="1" x14ac:dyDescent="0.3"/>
    <row r="42" spans="2:7" s="12" customFormat="1" ht="20.5" customHeight="1" x14ac:dyDescent="0.35">
      <c r="C42" s="8" t="s">
        <v>376</v>
      </c>
      <c r="D42" s="8" t="s">
        <v>377</v>
      </c>
      <c r="E42" s="8" t="s">
        <v>365</v>
      </c>
    </row>
    <row r="43" spans="2:7" s="12" customFormat="1" ht="17.5" customHeight="1" x14ac:dyDescent="0.35">
      <c r="C43" s="13" t="s">
        <v>378</v>
      </c>
      <c r="D43" s="15">
        <f>COUNTIF(Dataset!$L$2:$L$1048576,"No Asli")</f>
        <v>85</v>
      </c>
      <c r="E43" s="16">
        <f>D43/$D$45</f>
        <v>0.4913294797687861</v>
      </c>
    </row>
    <row r="44" spans="2:7" s="12" customFormat="1" ht="17.5" customHeight="1" x14ac:dyDescent="0.35">
      <c r="C44" s="13" t="s">
        <v>379</v>
      </c>
      <c r="D44" s="15">
        <f>COUNTIF(Dataset!$L$2:$L$1048576,"No Palsu")</f>
        <v>88</v>
      </c>
      <c r="E44" s="16">
        <f>D44/$D$45</f>
        <v>0.50867052023121384</v>
      </c>
    </row>
    <row r="45" spans="2:7" s="12" customFormat="1" ht="17.5" customHeight="1" x14ac:dyDescent="0.35">
      <c r="C45" s="14" t="s">
        <v>380</v>
      </c>
      <c r="D45" s="15">
        <f>SUM(D43:D44)</f>
        <v>173</v>
      </c>
      <c r="E45" s="15"/>
    </row>
    <row r="47" spans="2:7" x14ac:dyDescent="0.3">
      <c r="B47" s="9" t="s">
        <v>381</v>
      </c>
    </row>
    <row r="48" spans="2:7" ht="6" customHeight="1" x14ac:dyDescent="0.3"/>
    <row r="49" spans="3:3" x14ac:dyDescent="0.3">
      <c r="C49" s="21" t="s">
        <v>383</v>
      </c>
    </row>
    <row r="50" spans="3:3" x14ac:dyDescent="0.3">
      <c r="C50" s="3" t="s">
        <v>384</v>
      </c>
    </row>
    <row r="51" spans="3:3" x14ac:dyDescent="0.3">
      <c r="C51" s="21" t="s">
        <v>385</v>
      </c>
    </row>
    <row r="52" spans="3:3" x14ac:dyDescent="0.3">
      <c r="C52" s="21" t="s">
        <v>386</v>
      </c>
    </row>
    <row r="53" spans="3:3" x14ac:dyDescent="0.3">
      <c r="C53" s="21" t="s">
        <v>387</v>
      </c>
    </row>
    <row r="54" spans="3:3" x14ac:dyDescent="0.3">
      <c r="C54" s="21" t="s">
        <v>388</v>
      </c>
    </row>
    <row r="55" spans="3:3" x14ac:dyDescent="0.3">
      <c r="C55" s="3" t="s">
        <v>389</v>
      </c>
    </row>
  </sheetData>
  <mergeCells count="4">
    <mergeCell ref="C23:C24"/>
    <mergeCell ref="F23:F24"/>
    <mergeCell ref="D23:E23"/>
    <mergeCell ref="C2:F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Dataset</vt:lpstr>
      <vt:lpstr>Output</vt:lpstr>
      <vt:lpstr>Output!Print_Area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Zahrulwafi</dc:creator>
  <cp:lastModifiedBy>RKIndo</cp:lastModifiedBy>
  <dcterms:created xsi:type="dcterms:W3CDTF">2026-05-26T04:45:47Z</dcterms:created>
  <dcterms:modified xsi:type="dcterms:W3CDTF">2026-08-07T06:06:06Z</dcterms:modified>
</cp:coreProperties>
</file>